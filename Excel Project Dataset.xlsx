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50A263F7-23B8-4E22-B582-509DFF1E7540}" xr6:coauthVersionLast="47" xr6:coauthVersionMax="47" xr10:uidLastSave="{00000000-0000-0000-0000-000000000000}"/>
  <bookViews>
    <workbookView xWindow="-108" yWindow="-108" windowWidth="23256" windowHeight="13896" firstSheet="1" activeTab="4" xr2:uid="{00000000-000D-0000-FFFF-FFFF00000000}"/>
  </bookViews>
  <sheets>
    <sheet name="bike_buyers" sheetId="1" r:id="rId1"/>
    <sheet name="Working_Sheet" sheetId="2" r:id="rId2"/>
    <sheet name="Pivot_Table" sheetId="3" r:id="rId3"/>
    <sheet name="Findings" sheetId="6" r:id="rId4"/>
    <sheet name="Dashboard" sheetId="4" r:id="rId5"/>
    <sheet name="Process_Notes" sheetId="5" r:id="rId6"/>
  </sheets>
  <definedNames>
    <definedName name="_xlnm._FilterDatabase" localSheetId="0" hidden="1">bike_buyers!$A$1:$M$1001</definedName>
    <definedName name="_xlnm._FilterDatabase" localSheetId="1" hidden="1">Working_Sheet!$A$1:$P$1001</definedName>
    <definedName name="Slicer_Education">#N/A</definedName>
    <definedName name="Slicer_Marital_Status">#N/A</definedName>
    <definedName name="Slicer_Region">#N/A</definedName>
  </definedNames>
  <calcPr calcId="191029"/>
  <pivotCaches>
    <pivotCache cacheId="66"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E6" i="4"/>
  <c r="A6" i="4"/>
  <c r="O3" i="2"/>
  <c r="P3" i="2" a="1"/>
  <c r="O4" i="2"/>
  <c r="P4" i="2" a="1"/>
  <c r="O5" i="2"/>
  <c r="P5" i="2" a="1"/>
  <c r="O6" i="2"/>
  <c r="P6" i="2" a="1"/>
  <c r="O7" i="2"/>
  <c r="P7" i="2" a="1"/>
  <c r="O8" i="2"/>
  <c r="P8" i="2" a="1"/>
  <c r="O9" i="2"/>
  <c r="P9" i="2" a="1"/>
  <c r="O10" i="2"/>
  <c r="P10" i="2" a="1"/>
  <c r="O11" i="2"/>
  <c r="P11" i="2" a="1"/>
  <c r="O12" i="2"/>
  <c r="P12" i="2" a="1"/>
  <c r="O13" i="2"/>
  <c r="P13" i="2" a="1"/>
  <c r="O14" i="2"/>
  <c r="P14" i="2" a="1"/>
  <c r="O15" i="2"/>
  <c r="P15" i="2" a="1"/>
  <c r="O16" i="2"/>
  <c r="P16" i="2" a="1"/>
  <c r="O17" i="2"/>
  <c r="P17" i="2" a="1"/>
  <c r="O18" i="2"/>
  <c r="P18" i="2" a="1"/>
  <c r="O19" i="2"/>
  <c r="P19" i="2" a="1"/>
  <c r="O20" i="2"/>
  <c r="P20" i="2" a="1"/>
  <c r="O21" i="2"/>
  <c r="P21" i="2" a="1"/>
  <c r="O22" i="2"/>
  <c r="P22" i="2" a="1"/>
  <c r="O23" i="2"/>
  <c r="P23" i="2" a="1"/>
  <c r="O24" i="2"/>
  <c r="P24" i="2" a="1"/>
  <c r="O25" i="2"/>
  <c r="P25" i="2" a="1"/>
  <c r="O26" i="2"/>
  <c r="P26" i="2" a="1"/>
  <c r="O27" i="2"/>
  <c r="P27" i="2" a="1"/>
  <c r="O28" i="2"/>
  <c r="P28" i="2" a="1"/>
  <c r="O29" i="2"/>
  <c r="P29" i="2" a="1"/>
  <c r="O30" i="2"/>
  <c r="P30" i="2" a="1"/>
  <c r="O31" i="2"/>
  <c r="P31" i="2" a="1"/>
  <c r="O32" i="2"/>
  <c r="P32" i="2" a="1"/>
  <c r="O33" i="2"/>
  <c r="P33" i="2" a="1"/>
  <c r="O34" i="2"/>
  <c r="P34" i="2" a="1"/>
  <c r="O35" i="2"/>
  <c r="P35" i="2" a="1"/>
  <c r="O36" i="2"/>
  <c r="P36" i="2" a="1"/>
  <c r="O37" i="2"/>
  <c r="P37" i="2" a="1"/>
  <c r="O38" i="2"/>
  <c r="P38" i="2" a="1"/>
  <c r="O39" i="2"/>
  <c r="P39" i="2" a="1"/>
  <c r="O40" i="2"/>
  <c r="P40" i="2" a="1"/>
  <c r="O41" i="2"/>
  <c r="P41" i="2" a="1"/>
  <c r="O42" i="2"/>
  <c r="P42" i="2" a="1"/>
  <c r="O43" i="2"/>
  <c r="P43" i="2" a="1"/>
  <c r="O44" i="2"/>
  <c r="P44" i="2" a="1"/>
  <c r="O45" i="2"/>
  <c r="P45" i="2" a="1"/>
  <c r="O46" i="2"/>
  <c r="P46" i="2" a="1"/>
  <c r="O47" i="2"/>
  <c r="P47" i="2" a="1"/>
  <c r="O48" i="2"/>
  <c r="P48" i="2" a="1"/>
  <c r="O49" i="2"/>
  <c r="P49" i="2" a="1"/>
  <c r="O50" i="2"/>
  <c r="P50" i="2" a="1"/>
  <c r="O51" i="2"/>
  <c r="P51" i="2" a="1"/>
  <c r="O52" i="2"/>
  <c r="P52" i="2" a="1"/>
  <c r="O53" i="2"/>
  <c r="P53" i="2" a="1"/>
  <c r="O54" i="2"/>
  <c r="P54" i="2" a="1"/>
  <c r="O55" i="2"/>
  <c r="P55" i="2" a="1"/>
  <c r="O56" i="2"/>
  <c r="P56" i="2" a="1"/>
  <c r="O57" i="2"/>
  <c r="P57" i="2" a="1"/>
  <c r="O58" i="2"/>
  <c r="P58" i="2" a="1"/>
  <c r="O59" i="2"/>
  <c r="P59" i="2" a="1"/>
  <c r="O60" i="2"/>
  <c r="P60" i="2" a="1"/>
  <c r="O61" i="2"/>
  <c r="P61" i="2" a="1"/>
  <c r="O62" i="2"/>
  <c r="P62" i="2" a="1"/>
  <c r="O63" i="2"/>
  <c r="P63" i="2" a="1"/>
  <c r="O64" i="2"/>
  <c r="P64" i="2" a="1"/>
  <c r="O65" i="2"/>
  <c r="P65" i="2" a="1"/>
  <c r="O66" i="2"/>
  <c r="P66" i="2" a="1"/>
  <c r="O67" i="2"/>
  <c r="P67" i="2" a="1"/>
  <c r="O68" i="2"/>
  <c r="P68" i="2" a="1"/>
  <c r="O69" i="2"/>
  <c r="P69" i="2" a="1"/>
  <c r="O70" i="2"/>
  <c r="P70" i="2" a="1"/>
  <c r="O71" i="2"/>
  <c r="P71" i="2" a="1"/>
  <c r="O72" i="2"/>
  <c r="P72" i="2" a="1"/>
  <c r="O73" i="2"/>
  <c r="P73" i="2" a="1"/>
  <c r="O74" i="2"/>
  <c r="P74" i="2" a="1"/>
  <c r="O75" i="2"/>
  <c r="P75" i="2" a="1"/>
  <c r="O76" i="2"/>
  <c r="P76" i="2" a="1"/>
  <c r="O77" i="2"/>
  <c r="P77" i="2" a="1"/>
  <c r="O78" i="2"/>
  <c r="P78" i="2" a="1"/>
  <c r="O79" i="2"/>
  <c r="P79" i="2" a="1"/>
  <c r="O80" i="2"/>
  <c r="P80" i="2" a="1"/>
  <c r="O81" i="2"/>
  <c r="P81" i="2" a="1"/>
  <c r="O82" i="2"/>
  <c r="P82" i="2" a="1"/>
  <c r="O83" i="2"/>
  <c r="P83" i="2" a="1"/>
  <c r="O84" i="2"/>
  <c r="P84" i="2" a="1"/>
  <c r="O85" i="2"/>
  <c r="P85" i="2" a="1"/>
  <c r="O86" i="2"/>
  <c r="P86" i="2" a="1"/>
  <c r="O87" i="2"/>
  <c r="P87" i="2" a="1"/>
  <c r="O88" i="2"/>
  <c r="P88" i="2" a="1"/>
  <c r="O89" i="2"/>
  <c r="P89" i="2" a="1"/>
  <c r="O90" i="2"/>
  <c r="P90" i="2" a="1"/>
  <c r="O91" i="2"/>
  <c r="P91" i="2" a="1"/>
  <c r="O92" i="2"/>
  <c r="P92" i="2" a="1"/>
  <c r="O93" i="2"/>
  <c r="P93" i="2" a="1"/>
  <c r="O94" i="2"/>
  <c r="P94" i="2" a="1"/>
  <c r="O95" i="2"/>
  <c r="P95" i="2" a="1"/>
  <c r="O96" i="2"/>
  <c r="P96" i="2" a="1"/>
  <c r="O97" i="2"/>
  <c r="P97" i="2" a="1"/>
  <c r="O98" i="2"/>
  <c r="P98" i="2" a="1"/>
  <c r="O99" i="2"/>
  <c r="P99" i="2" a="1"/>
  <c r="O100" i="2"/>
  <c r="P100" i="2" a="1"/>
  <c r="O101" i="2"/>
  <c r="P101" i="2" a="1"/>
  <c r="O102" i="2"/>
  <c r="P102" i="2" a="1"/>
  <c r="O103" i="2"/>
  <c r="P103" i="2" a="1"/>
  <c r="O104" i="2"/>
  <c r="P104" i="2" a="1"/>
  <c r="O105" i="2"/>
  <c r="P105" i="2" a="1"/>
  <c r="O106" i="2"/>
  <c r="P106" i="2" a="1"/>
  <c r="O107" i="2"/>
  <c r="P107" i="2" a="1"/>
  <c r="O108" i="2"/>
  <c r="P108" i="2" a="1"/>
  <c r="O109" i="2"/>
  <c r="P109" i="2" a="1"/>
  <c r="O110" i="2"/>
  <c r="P110" i="2" a="1"/>
  <c r="O111" i="2"/>
  <c r="P111" i="2" a="1"/>
  <c r="O112" i="2"/>
  <c r="P112" i="2" a="1"/>
  <c r="O113" i="2"/>
  <c r="P113" i="2" a="1"/>
  <c r="O114" i="2"/>
  <c r="P114" i="2" a="1"/>
  <c r="O115" i="2"/>
  <c r="P115" i="2" a="1"/>
  <c r="O116" i="2"/>
  <c r="P116" i="2" a="1"/>
  <c r="O117" i="2"/>
  <c r="P117" i="2" a="1"/>
  <c r="O118" i="2"/>
  <c r="P118" i="2" a="1"/>
  <c r="O119" i="2"/>
  <c r="P119" i="2" a="1"/>
  <c r="O120" i="2"/>
  <c r="P120" i="2" a="1"/>
  <c r="O121" i="2"/>
  <c r="P121" i="2" a="1"/>
  <c r="O122" i="2"/>
  <c r="P122" i="2" a="1"/>
  <c r="O123" i="2"/>
  <c r="P123" i="2" a="1"/>
  <c r="O124" i="2"/>
  <c r="P124" i="2" a="1"/>
  <c r="O125" i="2"/>
  <c r="P125" i="2" a="1"/>
  <c r="O126" i="2"/>
  <c r="P126" i="2" a="1"/>
  <c r="O127" i="2"/>
  <c r="P127" i="2" a="1"/>
  <c r="O128" i="2"/>
  <c r="P128" i="2" a="1"/>
  <c r="O129" i="2"/>
  <c r="P129" i="2" a="1"/>
  <c r="O130" i="2"/>
  <c r="P130" i="2" a="1"/>
  <c r="O131" i="2"/>
  <c r="P131" i="2" a="1"/>
  <c r="O132" i="2"/>
  <c r="P132" i="2" a="1"/>
  <c r="O133" i="2"/>
  <c r="P133" i="2" a="1"/>
  <c r="O134" i="2"/>
  <c r="P134" i="2" a="1"/>
  <c r="O135" i="2"/>
  <c r="P135" i="2" a="1"/>
  <c r="O136" i="2"/>
  <c r="P136" i="2" a="1"/>
  <c r="O137" i="2"/>
  <c r="P137" i="2" a="1"/>
  <c r="O138" i="2"/>
  <c r="P138" i="2" a="1"/>
  <c r="O139" i="2"/>
  <c r="P139" i="2" a="1"/>
  <c r="O140" i="2"/>
  <c r="P140" i="2" a="1"/>
  <c r="O141" i="2"/>
  <c r="P141" i="2" a="1"/>
  <c r="O142" i="2"/>
  <c r="P142" i="2" a="1"/>
  <c r="O143" i="2"/>
  <c r="P143" i="2" a="1"/>
  <c r="O144" i="2"/>
  <c r="P144" i="2" a="1"/>
  <c r="O145" i="2"/>
  <c r="P145" i="2" a="1"/>
  <c r="O146" i="2"/>
  <c r="P146" i="2" a="1"/>
  <c r="O147" i="2"/>
  <c r="P147" i="2" a="1"/>
  <c r="O148" i="2"/>
  <c r="P148" i="2" a="1"/>
  <c r="O149" i="2"/>
  <c r="P149" i="2" a="1"/>
  <c r="O150" i="2"/>
  <c r="P150" i="2" a="1"/>
  <c r="O151" i="2"/>
  <c r="P151" i="2" a="1"/>
  <c r="O152" i="2"/>
  <c r="P152" i="2" a="1"/>
  <c r="O153" i="2"/>
  <c r="P153" i="2" a="1"/>
  <c r="O154" i="2"/>
  <c r="P154" i="2" a="1"/>
  <c r="O155" i="2"/>
  <c r="P155" i="2" a="1"/>
  <c r="O156" i="2"/>
  <c r="P156" i="2" a="1"/>
  <c r="O157" i="2"/>
  <c r="P157" i="2" a="1"/>
  <c r="O158" i="2"/>
  <c r="P158" i="2" a="1"/>
  <c r="O159" i="2"/>
  <c r="P159" i="2" a="1"/>
  <c r="O160" i="2"/>
  <c r="P160" i="2" a="1"/>
  <c r="O161" i="2"/>
  <c r="P161" i="2" a="1"/>
  <c r="O162" i="2"/>
  <c r="P162" i="2" a="1"/>
  <c r="O163" i="2"/>
  <c r="P163" i="2" a="1"/>
  <c r="O164" i="2"/>
  <c r="P164" i="2" a="1"/>
  <c r="O165" i="2"/>
  <c r="P165" i="2" a="1"/>
  <c r="O166" i="2"/>
  <c r="P166" i="2" a="1"/>
  <c r="O167" i="2"/>
  <c r="P167" i="2" a="1"/>
  <c r="O168" i="2"/>
  <c r="P168" i="2" a="1"/>
  <c r="O169" i="2"/>
  <c r="P169" i="2" a="1"/>
  <c r="O170" i="2"/>
  <c r="P170" i="2" a="1"/>
  <c r="O171" i="2"/>
  <c r="P171" i="2" a="1"/>
  <c r="O172" i="2"/>
  <c r="P172" i="2" a="1"/>
  <c r="O173" i="2"/>
  <c r="P173" i="2" a="1"/>
  <c r="O174" i="2"/>
  <c r="P174" i="2" a="1"/>
  <c r="O175" i="2"/>
  <c r="P175" i="2" a="1"/>
  <c r="O176" i="2"/>
  <c r="P176" i="2" a="1"/>
  <c r="O177" i="2"/>
  <c r="P177" i="2" a="1"/>
  <c r="O178" i="2"/>
  <c r="P178" i="2" a="1"/>
  <c r="O179" i="2"/>
  <c r="P179" i="2" a="1"/>
  <c r="O180" i="2"/>
  <c r="P180" i="2" a="1"/>
  <c r="O181" i="2"/>
  <c r="P181" i="2" a="1"/>
  <c r="O182" i="2"/>
  <c r="P182" i="2" a="1"/>
  <c r="O183" i="2"/>
  <c r="P183" i="2" a="1"/>
  <c r="O184" i="2"/>
  <c r="P184" i="2" a="1"/>
  <c r="O185" i="2"/>
  <c r="P185" i="2" a="1"/>
  <c r="O186" i="2"/>
  <c r="P186" i="2" a="1"/>
  <c r="O187" i="2"/>
  <c r="P187" i="2" a="1"/>
  <c r="O188" i="2"/>
  <c r="P188" i="2" a="1"/>
  <c r="O189" i="2"/>
  <c r="P189" i="2" a="1"/>
  <c r="O190" i="2"/>
  <c r="P190" i="2" a="1"/>
  <c r="O191" i="2"/>
  <c r="P191" i="2" a="1"/>
  <c r="O192" i="2"/>
  <c r="P192" i="2" a="1"/>
  <c r="O193" i="2"/>
  <c r="P193" i="2" a="1"/>
  <c r="O194" i="2"/>
  <c r="P194" i="2" a="1"/>
  <c r="O195" i="2"/>
  <c r="P195" i="2" a="1"/>
  <c r="O196" i="2"/>
  <c r="P196" i="2" a="1"/>
  <c r="O197" i="2"/>
  <c r="P197" i="2" a="1"/>
  <c r="O198" i="2"/>
  <c r="P198" i="2" a="1"/>
  <c r="O199" i="2"/>
  <c r="P199" i="2" a="1"/>
  <c r="O200" i="2"/>
  <c r="P200" i="2" a="1"/>
  <c r="O201" i="2"/>
  <c r="P201" i="2" a="1"/>
  <c r="O202" i="2"/>
  <c r="P202" i="2" a="1"/>
  <c r="O203" i="2"/>
  <c r="P203" i="2" a="1"/>
  <c r="O204" i="2"/>
  <c r="P204" i="2" a="1"/>
  <c r="O205" i="2"/>
  <c r="P205" i="2" a="1"/>
  <c r="O206" i="2"/>
  <c r="P206" i="2" a="1"/>
  <c r="O207" i="2"/>
  <c r="P207" i="2" a="1"/>
  <c r="O208" i="2"/>
  <c r="P208" i="2" a="1"/>
  <c r="O209" i="2"/>
  <c r="P209" i="2" a="1"/>
  <c r="O210" i="2"/>
  <c r="P210" i="2" a="1"/>
  <c r="O211" i="2"/>
  <c r="P211" i="2" a="1"/>
  <c r="O212" i="2"/>
  <c r="P212" i="2" a="1"/>
  <c r="O213" i="2"/>
  <c r="P213" i="2" a="1"/>
  <c r="O214" i="2"/>
  <c r="P214" i="2" a="1"/>
  <c r="O215" i="2"/>
  <c r="P215" i="2" a="1"/>
  <c r="O216" i="2"/>
  <c r="P216" i="2" a="1"/>
  <c r="O217" i="2"/>
  <c r="P217" i="2" a="1"/>
  <c r="O218" i="2"/>
  <c r="P218" i="2" a="1"/>
  <c r="O219" i="2"/>
  <c r="P219" i="2" a="1"/>
  <c r="O220" i="2"/>
  <c r="P220" i="2" a="1"/>
  <c r="O221" i="2"/>
  <c r="P221" i="2" a="1"/>
  <c r="O222" i="2"/>
  <c r="P222" i="2" a="1"/>
  <c r="O223" i="2"/>
  <c r="P223" i="2" a="1"/>
  <c r="O224" i="2"/>
  <c r="P224" i="2" a="1"/>
  <c r="O225" i="2"/>
  <c r="P225" i="2" a="1"/>
  <c r="O226" i="2"/>
  <c r="P226" i="2" a="1"/>
  <c r="O227" i="2"/>
  <c r="P227" i="2" a="1"/>
  <c r="O228" i="2"/>
  <c r="P228" i="2" a="1"/>
  <c r="O229" i="2"/>
  <c r="P229" i="2" a="1"/>
  <c r="O230" i="2"/>
  <c r="P230" i="2" a="1"/>
  <c r="O231" i="2"/>
  <c r="P231" i="2" a="1"/>
  <c r="O232" i="2"/>
  <c r="P232" i="2" a="1"/>
  <c r="O233" i="2"/>
  <c r="P233" i="2" a="1"/>
  <c r="O234" i="2"/>
  <c r="P234" i="2" a="1"/>
  <c r="O235" i="2"/>
  <c r="P235" i="2" a="1"/>
  <c r="O236" i="2"/>
  <c r="P236" i="2" a="1"/>
  <c r="O237" i="2"/>
  <c r="P237" i="2" a="1"/>
  <c r="O238" i="2"/>
  <c r="P238" i="2" a="1"/>
  <c r="O239" i="2"/>
  <c r="P239" i="2" a="1"/>
  <c r="O240" i="2"/>
  <c r="P240" i="2" a="1"/>
  <c r="O241" i="2"/>
  <c r="P241" i="2" a="1"/>
  <c r="O242" i="2"/>
  <c r="P242" i="2" a="1"/>
  <c r="O243" i="2"/>
  <c r="P243" i="2" a="1"/>
  <c r="O244" i="2"/>
  <c r="P244" i="2" a="1"/>
  <c r="O245" i="2"/>
  <c r="P245" i="2" a="1"/>
  <c r="O246" i="2"/>
  <c r="P246" i="2" a="1"/>
  <c r="O247" i="2"/>
  <c r="P247" i="2" a="1"/>
  <c r="O248" i="2"/>
  <c r="P248" i="2" a="1"/>
  <c r="O249" i="2"/>
  <c r="P249" i="2" a="1"/>
  <c r="O250" i="2"/>
  <c r="P250" i="2" a="1"/>
  <c r="O251" i="2"/>
  <c r="P251" i="2" a="1"/>
  <c r="O252" i="2"/>
  <c r="P252" i="2" a="1"/>
  <c r="O253" i="2"/>
  <c r="P253" i="2" a="1"/>
  <c r="O254" i="2"/>
  <c r="P254" i="2" a="1"/>
  <c r="O255" i="2"/>
  <c r="P255" i="2" a="1"/>
  <c r="O256" i="2"/>
  <c r="P256" i="2" a="1"/>
  <c r="O257" i="2"/>
  <c r="P257" i="2" a="1"/>
  <c r="O258" i="2"/>
  <c r="P258" i="2" a="1"/>
  <c r="O259" i="2"/>
  <c r="P259" i="2" a="1"/>
  <c r="O260" i="2"/>
  <c r="P260" i="2" a="1"/>
  <c r="O261" i="2"/>
  <c r="P261" i="2" a="1"/>
  <c r="O262" i="2"/>
  <c r="P262" i="2" a="1"/>
  <c r="O263" i="2"/>
  <c r="P263" i="2" a="1"/>
  <c r="O264" i="2"/>
  <c r="P264" i="2" a="1"/>
  <c r="O265" i="2"/>
  <c r="P265" i="2" a="1"/>
  <c r="O266" i="2"/>
  <c r="P266" i="2" a="1"/>
  <c r="O267" i="2"/>
  <c r="P267" i="2" a="1"/>
  <c r="O268" i="2"/>
  <c r="P268" i="2" a="1"/>
  <c r="O269" i="2"/>
  <c r="P269" i="2" a="1"/>
  <c r="O270" i="2"/>
  <c r="P270" i="2" a="1"/>
  <c r="O271" i="2"/>
  <c r="P271" i="2" a="1"/>
  <c r="O272" i="2"/>
  <c r="P272" i="2" a="1"/>
  <c r="O273" i="2"/>
  <c r="P273" i="2" a="1"/>
  <c r="O274" i="2"/>
  <c r="P274" i="2" a="1"/>
  <c r="O275" i="2"/>
  <c r="P275" i="2" a="1"/>
  <c r="O276" i="2"/>
  <c r="P276" i="2" a="1"/>
  <c r="O277" i="2"/>
  <c r="P277" i="2" a="1"/>
  <c r="O278" i="2"/>
  <c r="P278" i="2" a="1"/>
  <c r="O279" i="2"/>
  <c r="P279" i="2" a="1"/>
  <c r="O280" i="2"/>
  <c r="P280" i="2" a="1"/>
  <c r="O281" i="2"/>
  <c r="P281" i="2" a="1"/>
  <c r="O282" i="2"/>
  <c r="P282" i="2" a="1"/>
  <c r="O283" i="2"/>
  <c r="P283" i="2" a="1"/>
  <c r="O284" i="2"/>
  <c r="P284" i="2" a="1"/>
  <c r="O285" i="2"/>
  <c r="P285" i="2" a="1"/>
  <c r="O286" i="2"/>
  <c r="P286" i="2" a="1"/>
  <c r="O287" i="2"/>
  <c r="P287" i="2" a="1"/>
  <c r="O288" i="2"/>
  <c r="P288" i="2" a="1"/>
  <c r="O289" i="2"/>
  <c r="P289" i="2" a="1"/>
  <c r="O290" i="2"/>
  <c r="P290" i="2" a="1"/>
  <c r="O291" i="2"/>
  <c r="P291" i="2" a="1"/>
  <c r="O292" i="2"/>
  <c r="P292" i="2" a="1"/>
  <c r="O293" i="2"/>
  <c r="P293" i="2" a="1"/>
  <c r="O294" i="2"/>
  <c r="P294" i="2" a="1"/>
  <c r="O295" i="2"/>
  <c r="P295" i="2" a="1"/>
  <c r="O296" i="2"/>
  <c r="P296" i="2" a="1"/>
  <c r="O297" i="2"/>
  <c r="P297" i="2" a="1"/>
  <c r="O298" i="2"/>
  <c r="P298" i="2" a="1"/>
  <c r="O299" i="2"/>
  <c r="P299" i="2" a="1"/>
  <c r="O300" i="2"/>
  <c r="P300" i="2" a="1"/>
  <c r="O301" i="2"/>
  <c r="P301" i="2" a="1"/>
  <c r="O302" i="2"/>
  <c r="P302" i="2" a="1"/>
  <c r="O303" i="2"/>
  <c r="P303" i="2" a="1"/>
  <c r="O304" i="2"/>
  <c r="P304" i="2" a="1"/>
  <c r="O305" i="2"/>
  <c r="P305" i="2" a="1"/>
  <c r="O306" i="2"/>
  <c r="P306" i="2" a="1"/>
  <c r="O307" i="2"/>
  <c r="P307" i="2" a="1"/>
  <c r="O308" i="2"/>
  <c r="P308" i="2" a="1"/>
  <c r="O309" i="2"/>
  <c r="P309" i="2" a="1"/>
  <c r="O310" i="2"/>
  <c r="P310" i="2" a="1"/>
  <c r="O311" i="2"/>
  <c r="P311" i="2" a="1"/>
  <c r="O312" i="2"/>
  <c r="P312" i="2" a="1"/>
  <c r="O313" i="2"/>
  <c r="P313" i="2" a="1"/>
  <c r="O314" i="2"/>
  <c r="P314" i="2" a="1"/>
  <c r="O315" i="2"/>
  <c r="P315" i="2" a="1"/>
  <c r="O316" i="2"/>
  <c r="P316" i="2" a="1"/>
  <c r="O317" i="2"/>
  <c r="P317" i="2" a="1"/>
  <c r="O318" i="2"/>
  <c r="P318" i="2" a="1"/>
  <c r="O319" i="2"/>
  <c r="P319" i="2" a="1"/>
  <c r="O320" i="2"/>
  <c r="P320" i="2" a="1"/>
  <c r="O321" i="2"/>
  <c r="P321" i="2" a="1"/>
  <c r="O322" i="2"/>
  <c r="P322" i="2" a="1"/>
  <c r="O323" i="2"/>
  <c r="P323" i="2" a="1"/>
  <c r="O324" i="2"/>
  <c r="P324" i="2" a="1"/>
  <c r="O325" i="2"/>
  <c r="P325" i="2" a="1"/>
  <c r="O326" i="2"/>
  <c r="P326" i="2" a="1"/>
  <c r="O327" i="2"/>
  <c r="P327" i="2" a="1"/>
  <c r="O328" i="2"/>
  <c r="P328" i="2" a="1"/>
  <c r="O329" i="2"/>
  <c r="P329" i="2" a="1"/>
  <c r="O330" i="2"/>
  <c r="P330" i="2" a="1"/>
  <c r="O331" i="2"/>
  <c r="P331" i="2" a="1"/>
  <c r="O332" i="2"/>
  <c r="P332" i="2" a="1"/>
  <c r="O333" i="2"/>
  <c r="P333" i="2" a="1"/>
  <c r="O334" i="2"/>
  <c r="P334" i="2" a="1"/>
  <c r="O335" i="2"/>
  <c r="P335" i="2" a="1"/>
  <c r="O336" i="2"/>
  <c r="P336" i="2" a="1"/>
  <c r="O337" i="2"/>
  <c r="P337" i="2" a="1"/>
  <c r="O338" i="2"/>
  <c r="P338" i="2" a="1"/>
  <c r="O339" i="2"/>
  <c r="P339" i="2" a="1"/>
  <c r="O340" i="2"/>
  <c r="P340" i="2" a="1"/>
  <c r="O341" i="2"/>
  <c r="P341" i="2" a="1"/>
  <c r="O342" i="2"/>
  <c r="P342" i="2" a="1"/>
  <c r="O343" i="2"/>
  <c r="P343" i="2" a="1"/>
  <c r="O344" i="2"/>
  <c r="P344" i="2" a="1"/>
  <c r="O345" i="2"/>
  <c r="P345" i="2" a="1"/>
  <c r="O346" i="2"/>
  <c r="P346" i="2" a="1"/>
  <c r="O347" i="2"/>
  <c r="P347" i="2" a="1"/>
  <c r="O348" i="2"/>
  <c r="P348" i="2" a="1"/>
  <c r="O349" i="2"/>
  <c r="P349" i="2" a="1"/>
  <c r="O350" i="2"/>
  <c r="P350" i="2" a="1"/>
  <c r="O351" i="2"/>
  <c r="P351" i="2" a="1"/>
  <c r="O352" i="2"/>
  <c r="P352" i="2" a="1"/>
  <c r="O353" i="2"/>
  <c r="P353" i="2" a="1"/>
  <c r="O354" i="2"/>
  <c r="P354" i="2" a="1"/>
  <c r="O355" i="2"/>
  <c r="P355" i="2" a="1"/>
  <c r="O356" i="2"/>
  <c r="P356" i="2" a="1"/>
  <c r="O357" i="2"/>
  <c r="P357" i="2" a="1"/>
  <c r="O358" i="2"/>
  <c r="P358" i="2" a="1"/>
  <c r="O359" i="2"/>
  <c r="P359" i="2" a="1"/>
  <c r="O360" i="2"/>
  <c r="P360" i="2" a="1"/>
  <c r="O361" i="2"/>
  <c r="P361" i="2" a="1"/>
  <c r="O362" i="2"/>
  <c r="P362" i="2" a="1"/>
  <c r="O363" i="2"/>
  <c r="P363" i="2" a="1"/>
  <c r="O364" i="2"/>
  <c r="P364" i="2" a="1"/>
  <c r="O365" i="2"/>
  <c r="P365" i="2" a="1"/>
  <c r="O366" i="2"/>
  <c r="P366" i="2" a="1"/>
  <c r="O367" i="2"/>
  <c r="P367" i="2" a="1"/>
  <c r="O368" i="2"/>
  <c r="P368" i="2" a="1"/>
  <c r="O369" i="2"/>
  <c r="P369" i="2" a="1"/>
  <c r="O370" i="2"/>
  <c r="P370" i="2" a="1"/>
  <c r="O371" i="2"/>
  <c r="P371" i="2" a="1"/>
  <c r="O372" i="2"/>
  <c r="P372" i="2" a="1"/>
  <c r="O373" i="2"/>
  <c r="P373" i="2" a="1"/>
  <c r="O374" i="2"/>
  <c r="P374" i="2" a="1"/>
  <c r="O375" i="2"/>
  <c r="P375" i="2" a="1"/>
  <c r="O376" i="2"/>
  <c r="P376" i="2" a="1"/>
  <c r="O377" i="2"/>
  <c r="P377" i="2" a="1"/>
  <c r="O378" i="2"/>
  <c r="P378" i="2" a="1"/>
  <c r="O379" i="2"/>
  <c r="P379" i="2" a="1"/>
  <c r="O380" i="2"/>
  <c r="P380" i="2" a="1"/>
  <c r="O381" i="2"/>
  <c r="P381" i="2" a="1"/>
  <c r="O382" i="2"/>
  <c r="P382" i="2" a="1"/>
  <c r="O383" i="2"/>
  <c r="P383" i="2" a="1"/>
  <c r="O384" i="2"/>
  <c r="P384" i="2" a="1"/>
  <c r="O385" i="2"/>
  <c r="P385" i="2" a="1"/>
  <c r="O386" i="2"/>
  <c r="P386" i="2" a="1"/>
  <c r="O387" i="2"/>
  <c r="P387" i="2" a="1"/>
  <c r="O388" i="2"/>
  <c r="P388" i="2" a="1"/>
  <c r="O389" i="2"/>
  <c r="P389" i="2" a="1"/>
  <c r="O390" i="2"/>
  <c r="P390" i="2" a="1"/>
  <c r="O391" i="2"/>
  <c r="P391" i="2" a="1"/>
  <c r="O392" i="2"/>
  <c r="P392" i="2" a="1"/>
  <c r="O393" i="2"/>
  <c r="P393" i="2" a="1"/>
  <c r="O394" i="2"/>
  <c r="P394" i="2" a="1"/>
  <c r="O395" i="2"/>
  <c r="P395" i="2" a="1"/>
  <c r="O396" i="2"/>
  <c r="P396" i="2" a="1"/>
  <c r="O397" i="2"/>
  <c r="P397" i="2" a="1"/>
  <c r="O398" i="2"/>
  <c r="P398" i="2" a="1"/>
  <c r="O399" i="2"/>
  <c r="P399" i="2" a="1"/>
  <c r="O400" i="2"/>
  <c r="P400" i="2" a="1"/>
  <c r="O401" i="2"/>
  <c r="P401" i="2" a="1"/>
  <c r="O402" i="2"/>
  <c r="P402" i="2" a="1"/>
  <c r="O403" i="2"/>
  <c r="P403" i="2" a="1"/>
  <c r="O404" i="2"/>
  <c r="P404" i="2" a="1"/>
  <c r="O405" i="2"/>
  <c r="P405" i="2" a="1"/>
  <c r="O406" i="2"/>
  <c r="P406" i="2" a="1"/>
  <c r="O407" i="2"/>
  <c r="P407" i="2" a="1"/>
  <c r="O408" i="2"/>
  <c r="P408" i="2" a="1"/>
  <c r="O409" i="2"/>
  <c r="P409" i="2" a="1"/>
  <c r="O410" i="2"/>
  <c r="P410" i="2" a="1"/>
  <c r="O411" i="2"/>
  <c r="P411" i="2" a="1"/>
  <c r="O412" i="2"/>
  <c r="P412" i="2" a="1"/>
  <c r="O413" i="2"/>
  <c r="P413" i="2" a="1"/>
  <c r="O414" i="2"/>
  <c r="P414" i="2" a="1"/>
  <c r="O415" i="2"/>
  <c r="P415" i="2" a="1"/>
  <c r="O416" i="2"/>
  <c r="P416" i="2" a="1"/>
  <c r="O417" i="2"/>
  <c r="P417" i="2" a="1"/>
  <c r="O418" i="2"/>
  <c r="P418" i="2" a="1"/>
  <c r="O419" i="2"/>
  <c r="P419" i="2" a="1"/>
  <c r="O420" i="2"/>
  <c r="P420" i="2" a="1"/>
  <c r="O421" i="2"/>
  <c r="P421" i="2" a="1"/>
  <c r="O422" i="2"/>
  <c r="P422" i="2" a="1"/>
  <c r="O423" i="2"/>
  <c r="P423" i="2" a="1"/>
  <c r="O424" i="2"/>
  <c r="P424" i="2" a="1"/>
  <c r="O425" i="2"/>
  <c r="P425" i="2" a="1"/>
  <c r="O426" i="2"/>
  <c r="P426" i="2" a="1"/>
  <c r="O427" i="2"/>
  <c r="P427" i="2" a="1"/>
  <c r="O428" i="2"/>
  <c r="P428" i="2" a="1"/>
  <c r="O429" i="2"/>
  <c r="P429" i="2" a="1"/>
  <c r="O430" i="2"/>
  <c r="P430" i="2" a="1"/>
  <c r="O431" i="2"/>
  <c r="P431" i="2" a="1"/>
  <c r="O432" i="2"/>
  <c r="P432" i="2" a="1"/>
  <c r="O433" i="2"/>
  <c r="P433" i="2" a="1"/>
  <c r="O434" i="2"/>
  <c r="P434" i="2" a="1"/>
  <c r="O435" i="2"/>
  <c r="P435" i="2" a="1"/>
  <c r="O436" i="2"/>
  <c r="P436" i="2" a="1"/>
  <c r="O437" i="2"/>
  <c r="P437" i="2" a="1"/>
  <c r="O438" i="2"/>
  <c r="P438" i="2" a="1"/>
  <c r="O439" i="2"/>
  <c r="P439" i="2" a="1"/>
  <c r="O440" i="2"/>
  <c r="P440" i="2" a="1"/>
  <c r="O441" i="2"/>
  <c r="P441" i="2" a="1"/>
  <c r="O442" i="2"/>
  <c r="P442" i="2" a="1"/>
  <c r="O443" i="2"/>
  <c r="P443" i="2" a="1"/>
  <c r="O444" i="2"/>
  <c r="P444" i="2" a="1"/>
  <c r="O445" i="2"/>
  <c r="P445" i="2" a="1"/>
  <c r="O446" i="2"/>
  <c r="P446" i="2" a="1"/>
  <c r="O447" i="2"/>
  <c r="P447" i="2" a="1"/>
  <c r="O448" i="2"/>
  <c r="P448" i="2" a="1"/>
  <c r="O449" i="2"/>
  <c r="P449" i="2" a="1"/>
  <c r="O450" i="2"/>
  <c r="P450" i="2" a="1"/>
  <c r="O451" i="2"/>
  <c r="P451" i="2" a="1"/>
  <c r="O452" i="2"/>
  <c r="P452" i="2" a="1"/>
  <c r="O453" i="2"/>
  <c r="P453" i="2" a="1"/>
  <c r="O454" i="2"/>
  <c r="P454" i="2" a="1"/>
  <c r="O455" i="2"/>
  <c r="P455" i="2" a="1"/>
  <c r="O456" i="2"/>
  <c r="P456" i="2" a="1"/>
  <c r="O457" i="2"/>
  <c r="P457" i="2" a="1"/>
  <c r="O458" i="2"/>
  <c r="P458" i="2" a="1"/>
  <c r="O459" i="2"/>
  <c r="P459" i="2" a="1"/>
  <c r="O460" i="2"/>
  <c r="P460" i="2" a="1"/>
  <c r="O461" i="2"/>
  <c r="P461" i="2" a="1"/>
  <c r="O462" i="2"/>
  <c r="P462" i="2" a="1"/>
  <c r="O463" i="2"/>
  <c r="P463" i="2" a="1"/>
  <c r="O464" i="2"/>
  <c r="P464" i="2" a="1"/>
  <c r="O465" i="2"/>
  <c r="P465" i="2" a="1"/>
  <c r="O466" i="2"/>
  <c r="P466" i="2" a="1"/>
  <c r="O467" i="2"/>
  <c r="P467" i="2" a="1"/>
  <c r="O468" i="2"/>
  <c r="P468" i="2" a="1"/>
  <c r="O469" i="2"/>
  <c r="P469" i="2" a="1"/>
  <c r="O470" i="2"/>
  <c r="P470" i="2" a="1"/>
  <c r="O471" i="2"/>
  <c r="P471" i="2" a="1"/>
  <c r="O472" i="2"/>
  <c r="P472" i="2" a="1"/>
  <c r="O473" i="2"/>
  <c r="P473" i="2" a="1"/>
  <c r="O474" i="2"/>
  <c r="P474" i="2" a="1"/>
  <c r="O475" i="2"/>
  <c r="P475" i="2" a="1"/>
  <c r="O476" i="2"/>
  <c r="P476" i="2" a="1"/>
  <c r="O477" i="2"/>
  <c r="P477" i="2" a="1"/>
  <c r="O478" i="2"/>
  <c r="P478" i="2" a="1"/>
  <c r="O479" i="2"/>
  <c r="P479" i="2" a="1"/>
  <c r="O480" i="2"/>
  <c r="P480" i="2" a="1"/>
  <c r="O481" i="2"/>
  <c r="P481" i="2" a="1"/>
  <c r="O482" i="2"/>
  <c r="P482" i="2" a="1"/>
  <c r="O483" i="2"/>
  <c r="P483" i="2" a="1"/>
  <c r="O484" i="2"/>
  <c r="P484" i="2" a="1"/>
  <c r="O485" i="2"/>
  <c r="P485" i="2" a="1"/>
  <c r="O486" i="2"/>
  <c r="P486" i="2" a="1"/>
  <c r="O487" i="2"/>
  <c r="P487" i="2" a="1"/>
  <c r="O488" i="2"/>
  <c r="P488" i="2" a="1"/>
  <c r="O489" i="2"/>
  <c r="P489" i="2" a="1"/>
  <c r="O490" i="2"/>
  <c r="P490" i="2" a="1"/>
  <c r="O491" i="2"/>
  <c r="P491" i="2" a="1"/>
  <c r="O492" i="2"/>
  <c r="P492" i="2" a="1"/>
  <c r="O493" i="2"/>
  <c r="P493" i="2" a="1"/>
  <c r="O494" i="2"/>
  <c r="P494" i="2" a="1"/>
  <c r="O495" i="2"/>
  <c r="P495" i="2" a="1"/>
  <c r="O496" i="2"/>
  <c r="P496" i="2" a="1"/>
  <c r="O497" i="2"/>
  <c r="P497" i="2" a="1"/>
  <c r="O498" i="2"/>
  <c r="P498" i="2" a="1"/>
  <c r="O499" i="2"/>
  <c r="P499" i="2" a="1"/>
  <c r="O500" i="2"/>
  <c r="P500" i="2" a="1"/>
  <c r="O501" i="2"/>
  <c r="P501" i="2" a="1"/>
  <c r="O502" i="2"/>
  <c r="P502" i="2" a="1"/>
  <c r="O503" i="2"/>
  <c r="P503" i="2" a="1"/>
  <c r="O504" i="2"/>
  <c r="P504" i="2" a="1"/>
  <c r="O505" i="2"/>
  <c r="P505" i="2" a="1"/>
  <c r="O506" i="2"/>
  <c r="P506" i="2" a="1"/>
  <c r="O507" i="2"/>
  <c r="P507" i="2" a="1"/>
  <c r="O508" i="2"/>
  <c r="P508" i="2" a="1"/>
  <c r="O509" i="2"/>
  <c r="P509" i="2" a="1"/>
  <c r="O510" i="2"/>
  <c r="P510" i="2" a="1"/>
  <c r="O511" i="2"/>
  <c r="P511" i="2" a="1"/>
  <c r="O512" i="2"/>
  <c r="P512" i="2" a="1"/>
  <c r="O513" i="2"/>
  <c r="P513" i="2" a="1"/>
  <c r="O514" i="2"/>
  <c r="P514" i="2" a="1"/>
  <c r="O515" i="2"/>
  <c r="P515" i="2" a="1"/>
  <c r="O516" i="2"/>
  <c r="P516" i="2" a="1"/>
  <c r="O517" i="2"/>
  <c r="P517" i="2" a="1"/>
  <c r="O518" i="2"/>
  <c r="P518" i="2" a="1"/>
  <c r="O519" i="2"/>
  <c r="P519" i="2" a="1"/>
  <c r="O520" i="2"/>
  <c r="P520" i="2" a="1"/>
  <c r="O521" i="2"/>
  <c r="P521" i="2" a="1"/>
  <c r="O522" i="2"/>
  <c r="P522" i="2" a="1"/>
  <c r="O523" i="2"/>
  <c r="P523" i="2" a="1"/>
  <c r="O524" i="2"/>
  <c r="P524" i="2" a="1"/>
  <c r="O525" i="2"/>
  <c r="P525" i="2" a="1"/>
  <c r="O526" i="2"/>
  <c r="P526" i="2" a="1"/>
  <c r="O527" i="2"/>
  <c r="P527" i="2" a="1"/>
  <c r="O528" i="2"/>
  <c r="P528" i="2" a="1"/>
  <c r="O529" i="2"/>
  <c r="P529" i="2" a="1"/>
  <c r="O530" i="2"/>
  <c r="P530" i="2" a="1"/>
  <c r="O531" i="2"/>
  <c r="P531" i="2" a="1"/>
  <c r="O532" i="2"/>
  <c r="P532" i="2" a="1"/>
  <c r="O533" i="2"/>
  <c r="P533" i="2" a="1"/>
  <c r="O534" i="2"/>
  <c r="P534" i="2" a="1"/>
  <c r="O535" i="2"/>
  <c r="P535" i="2" a="1"/>
  <c r="O536" i="2"/>
  <c r="P536" i="2" a="1"/>
  <c r="O537" i="2"/>
  <c r="P537" i="2" a="1"/>
  <c r="O538" i="2"/>
  <c r="P538" i="2" a="1"/>
  <c r="O539" i="2"/>
  <c r="P539" i="2" a="1"/>
  <c r="O540" i="2"/>
  <c r="P540" i="2" a="1"/>
  <c r="O541" i="2"/>
  <c r="P541" i="2" a="1"/>
  <c r="O542" i="2"/>
  <c r="P542" i="2" a="1"/>
  <c r="O543" i="2"/>
  <c r="P543" i="2" a="1"/>
  <c r="O544" i="2"/>
  <c r="P544" i="2" a="1"/>
  <c r="O545" i="2"/>
  <c r="P545" i="2" a="1"/>
  <c r="O546" i="2"/>
  <c r="P546" i="2" a="1"/>
  <c r="O547" i="2"/>
  <c r="P547" i="2" a="1"/>
  <c r="O548" i="2"/>
  <c r="P548" i="2" a="1"/>
  <c r="O549" i="2"/>
  <c r="P549" i="2" a="1"/>
  <c r="O550" i="2"/>
  <c r="P550" i="2" a="1"/>
  <c r="O551" i="2"/>
  <c r="P551" i="2" a="1"/>
  <c r="O552" i="2"/>
  <c r="P552" i="2" a="1"/>
  <c r="O553" i="2"/>
  <c r="P553" i="2" a="1"/>
  <c r="O554" i="2"/>
  <c r="P554" i="2" a="1"/>
  <c r="O555" i="2"/>
  <c r="P555" i="2" a="1"/>
  <c r="O556" i="2"/>
  <c r="P556" i="2" a="1"/>
  <c r="O557" i="2"/>
  <c r="P557" i="2" a="1"/>
  <c r="O558" i="2"/>
  <c r="P558" i="2" a="1"/>
  <c r="O559" i="2"/>
  <c r="P559" i="2" a="1"/>
  <c r="O560" i="2"/>
  <c r="P560" i="2" a="1"/>
  <c r="O561" i="2"/>
  <c r="P561" i="2" a="1"/>
  <c r="O562" i="2"/>
  <c r="P562" i="2" a="1"/>
  <c r="O563" i="2"/>
  <c r="P563" i="2" a="1"/>
  <c r="O564" i="2"/>
  <c r="P564" i="2" a="1"/>
  <c r="O565" i="2"/>
  <c r="P565" i="2" a="1"/>
  <c r="O566" i="2"/>
  <c r="P566" i="2" a="1"/>
  <c r="O567" i="2"/>
  <c r="P567" i="2" a="1"/>
  <c r="O568" i="2"/>
  <c r="P568" i="2" a="1"/>
  <c r="O569" i="2"/>
  <c r="P569" i="2" a="1"/>
  <c r="O570" i="2"/>
  <c r="P570" i="2" a="1"/>
  <c r="O571" i="2"/>
  <c r="P571" i="2" a="1"/>
  <c r="O572" i="2"/>
  <c r="P572" i="2" a="1"/>
  <c r="O573" i="2"/>
  <c r="P573" i="2" a="1"/>
  <c r="O574" i="2"/>
  <c r="P574" i="2" a="1"/>
  <c r="O575" i="2"/>
  <c r="P575" i="2" a="1"/>
  <c r="O576" i="2"/>
  <c r="P576" i="2" a="1"/>
  <c r="O577" i="2"/>
  <c r="P577" i="2" a="1"/>
  <c r="O578" i="2"/>
  <c r="P578" i="2" a="1"/>
  <c r="O579" i="2"/>
  <c r="P579" i="2" a="1"/>
  <c r="O580" i="2"/>
  <c r="P580" i="2" a="1"/>
  <c r="O581" i="2"/>
  <c r="P581" i="2" a="1"/>
  <c r="O582" i="2"/>
  <c r="P582" i="2" a="1"/>
  <c r="O583" i="2"/>
  <c r="P583" i="2" a="1"/>
  <c r="O584" i="2"/>
  <c r="P584" i="2" a="1"/>
  <c r="O585" i="2"/>
  <c r="P585" i="2" a="1"/>
  <c r="O586" i="2"/>
  <c r="P586" i="2" a="1"/>
  <c r="O587" i="2"/>
  <c r="P587" i="2" a="1"/>
  <c r="O588" i="2"/>
  <c r="P588" i="2" a="1"/>
  <c r="O589" i="2"/>
  <c r="P589" i="2" a="1"/>
  <c r="O590" i="2"/>
  <c r="P590" i="2" a="1"/>
  <c r="O591" i="2"/>
  <c r="P591" i="2" a="1"/>
  <c r="O592" i="2"/>
  <c r="P592" i="2" a="1"/>
  <c r="O593" i="2"/>
  <c r="P593" i="2" a="1"/>
  <c r="O594" i="2"/>
  <c r="P594" i="2" a="1"/>
  <c r="O595" i="2"/>
  <c r="P595" i="2" a="1"/>
  <c r="O596" i="2"/>
  <c r="P596" i="2" a="1"/>
  <c r="O597" i="2"/>
  <c r="P597" i="2" a="1"/>
  <c r="O598" i="2"/>
  <c r="P598" i="2" a="1"/>
  <c r="O599" i="2"/>
  <c r="P599" i="2" a="1"/>
  <c r="O600" i="2"/>
  <c r="P600" i="2" a="1"/>
  <c r="O601" i="2"/>
  <c r="P601" i="2" a="1"/>
  <c r="O602" i="2"/>
  <c r="P602" i="2" a="1"/>
  <c r="O603" i="2"/>
  <c r="P603" i="2" a="1"/>
  <c r="O604" i="2"/>
  <c r="P604" i="2" a="1"/>
  <c r="O605" i="2"/>
  <c r="P605" i="2" a="1"/>
  <c r="O606" i="2"/>
  <c r="P606" i="2" a="1"/>
  <c r="O607" i="2"/>
  <c r="P607" i="2" a="1"/>
  <c r="O608" i="2"/>
  <c r="P608" i="2" a="1"/>
  <c r="O609" i="2"/>
  <c r="P609" i="2" a="1"/>
  <c r="O610" i="2"/>
  <c r="P610" i="2" a="1"/>
  <c r="O611" i="2"/>
  <c r="P611" i="2" a="1"/>
  <c r="O612" i="2"/>
  <c r="P612" i="2" a="1"/>
  <c r="O613" i="2"/>
  <c r="P613" i="2" a="1"/>
  <c r="O614" i="2"/>
  <c r="P614" i="2" a="1"/>
  <c r="O615" i="2"/>
  <c r="P615" i="2" a="1"/>
  <c r="O616" i="2"/>
  <c r="P616" i="2" a="1"/>
  <c r="O617" i="2"/>
  <c r="P617" i="2" a="1"/>
  <c r="O618" i="2"/>
  <c r="P618" i="2" a="1"/>
  <c r="O619" i="2"/>
  <c r="P619" i="2" a="1"/>
  <c r="O620" i="2"/>
  <c r="P620" i="2" a="1"/>
  <c r="O621" i="2"/>
  <c r="P621" i="2" a="1"/>
  <c r="O622" i="2"/>
  <c r="P622" i="2" a="1"/>
  <c r="O623" i="2"/>
  <c r="P623" i="2" a="1"/>
  <c r="O624" i="2"/>
  <c r="P624" i="2" a="1"/>
  <c r="O625" i="2"/>
  <c r="P625" i="2" a="1"/>
  <c r="O626" i="2"/>
  <c r="P626" i="2" a="1"/>
  <c r="O627" i="2"/>
  <c r="P627" i="2" a="1"/>
  <c r="O628" i="2"/>
  <c r="P628" i="2" a="1"/>
  <c r="O629" i="2"/>
  <c r="P629" i="2" a="1"/>
  <c r="O630" i="2"/>
  <c r="P630" i="2" a="1"/>
  <c r="O631" i="2"/>
  <c r="P631" i="2" a="1"/>
  <c r="O632" i="2"/>
  <c r="P632" i="2" a="1"/>
  <c r="O633" i="2"/>
  <c r="P633" i="2" a="1"/>
  <c r="O634" i="2"/>
  <c r="P634" i="2" a="1"/>
  <c r="O635" i="2"/>
  <c r="P635" i="2" a="1"/>
  <c r="O636" i="2"/>
  <c r="P636" i="2" a="1"/>
  <c r="O637" i="2"/>
  <c r="P637" i="2" a="1"/>
  <c r="O638" i="2"/>
  <c r="P638" i="2" a="1"/>
  <c r="O639" i="2"/>
  <c r="P639" i="2" a="1"/>
  <c r="O640" i="2"/>
  <c r="P640" i="2" a="1"/>
  <c r="O641" i="2"/>
  <c r="P641" i="2" a="1"/>
  <c r="O642" i="2"/>
  <c r="P642" i="2" a="1"/>
  <c r="O643" i="2"/>
  <c r="P643" i="2" a="1"/>
  <c r="O644" i="2"/>
  <c r="P644" i="2" a="1"/>
  <c r="O645" i="2"/>
  <c r="P645" i="2" a="1"/>
  <c r="O646" i="2"/>
  <c r="P646" i="2" a="1"/>
  <c r="O647" i="2"/>
  <c r="P647" i="2" a="1"/>
  <c r="O648" i="2"/>
  <c r="P648" i="2" a="1"/>
  <c r="O649" i="2"/>
  <c r="P649" i="2" a="1"/>
  <c r="O650" i="2"/>
  <c r="P650" i="2" a="1"/>
  <c r="O651" i="2"/>
  <c r="P651" i="2" a="1"/>
  <c r="O652" i="2"/>
  <c r="P652" i="2" a="1"/>
  <c r="O653" i="2"/>
  <c r="P653" i="2" a="1"/>
  <c r="O654" i="2"/>
  <c r="P654" i="2" a="1"/>
  <c r="O655" i="2"/>
  <c r="P655" i="2" a="1"/>
  <c r="O656" i="2"/>
  <c r="P656" i="2" a="1"/>
  <c r="O657" i="2"/>
  <c r="P657" i="2" a="1"/>
  <c r="O658" i="2"/>
  <c r="P658" i="2" a="1"/>
  <c r="O659" i="2"/>
  <c r="P659" i="2" a="1"/>
  <c r="O660" i="2"/>
  <c r="P660" i="2" a="1"/>
  <c r="O661" i="2"/>
  <c r="P661" i="2" a="1"/>
  <c r="O662" i="2"/>
  <c r="P662" i="2" a="1"/>
  <c r="O663" i="2"/>
  <c r="P663" i="2" a="1"/>
  <c r="O664" i="2"/>
  <c r="P664" i="2" a="1"/>
  <c r="O665" i="2"/>
  <c r="P665" i="2" a="1"/>
  <c r="O666" i="2"/>
  <c r="P666" i="2" a="1"/>
  <c r="O667" i="2"/>
  <c r="P667" i="2" a="1"/>
  <c r="O668" i="2"/>
  <c r="P668" i="2" a="1"/>
  <c r="O669" i="2"/>
  <c r="P669" i="2" a="1"/>
  <c r="O670" i="2"/>
  <c r="P670" i="2" a="1"/>
  <c r="O671" i="2"/>
  <c r="P671" i="2" a="1"/>
  <c r="O672" i="2"/>
  <c r="P672" i="2" a="1"/>
  <c r="O673" i="2"/>
  <c r="P673" i="2" a="1"/>
  <c r="O674" i="2"/>
  <c r="P674" i="2" a="1"/>
  <c r="O675" i="2"/>
  <c r="P675" i="2" a="1"/>
  <c r="O676" i="2"/>
  <c r="P676" i="2" a="1"/>
  <c r="O677" i="2"/>
  <c r="P677" i="2" a="1"/>
  <c r="O678" i="2"/>
  <c r="P678" i="2" a="1"/>
  <c r="O679" i="2"/>
  <c r="P679" i="2" a="1"/>
  <c r="O680" i="2"/>
  <c r="P680" i="2" a="1"/>
  <c r="O681" i="2"/>
  <c r="P681" i="2" a="1"/>
  <c r="O682" i="2"/>
  <c r="P682" i="2" a="1"/>
  <c r="O683" i="2"/>
  <c r="P683" i="2" a="1"/>
  <c r="O684" i="2"/>
  <c r="P684" i="2" a="1"/>
  <c r="O685" i="2"/>
  <c r="P685" i="2" a="1"/>
  <c r="O686" i="2"/>
  <c r="P686" i="2" a="1"/>
  <c r="O687" i="2"/>
  <c r="P687" i="2" a="1"/>
  <c r="O688" i="2"/>
  <c r="P688" i="2" a="1"/>
  <c r="O689" i="2"/>
  <c r="P689" i="2" a="1"/>
  <c r="O690" i="2"/>
  <c r="P690" i="2" a="1"/>
  <c r="O691" i="2"/>
  <c r="P691" i="2" a="1"/>
  <c r="O692" i="2"/>
  <c r="P692" i="2" a="1"/>
  <c r="O693" i="2"/>
  <c r="P693" i="2" a="1"/>
  <c r="O694" i="2"/>
  <c r="P694" i="2" a="1"/>
  <c r="O695" i="2"/>
  <c r="P695" i="2" a="1"/>
  <c r="O696" i="2"/>
  <c r="P696" i="2" a="1"/>
  <c r="O697" i="2"/>
  <c r="P697" i="2" a="1"/>
  <c r="O698" i="2"/>
  <c r="P698" i="2" a="1"/>
  <c r="O699" i="2"/>
  <c r="P699" i="2" a="1"/>
  <c r="O700" i="2"/>
  <c r="P700" i="2" a="1"/>
  <c r="O701" i="2"/>
  <c r="P701" i="2" a="1"/>
  <c r="O702" i="2"/>
  <c r="P702" i="2" a="1"/>
  <c r="O703" i="2"/>
  <c r="P703" i="2" a="1"/>
  <c r="O704" i="2"/>
  <c r="P704" i="2" a="1"/>
  <c r="O705" i="2"/>
  <c r="P705" i="2" a="1"/>
  <c r="O706" i="2"/>
  <c r="P706" i="2" a="1"/>
  <c r="O707" i="2"/>
  <c r="P707" i="2" a="1"/>
  <c r="O708" i="2"/>
  <c r="P708" i="2" a="1"/>
  <c r="O709" i="2"/>
  <c r="P709" i="2" a="1"/>
  <c r="O710" i="2"/>
  <c r="P710" i="2" a="1"/>
  <c r="O711" i="2"/>
  <c r="P711" i="2" a="1"/>
  <c r="O712" i="2"/>
  <c r="P712" i="2" a="1"/>
  <c r="O713" i="2"/>
  <c r="P713" i="2" a="1"/>
  <c r="O714" i="2"/>
  <c r="P714" i="2" a="1"/>
  <c r="O715" i="2"/>
  <c r="P715" i="2" a="1"/>
  <c r="O716" i="2"/>
  <c r="P716" i="2" a="1"/>
  <c r="O717" i="2"/>
  <c r="P717" i="2" a="1"/>
  <c r="O718" i="2"/>
  <c r="P718" i="2" a="1"/>
  <c r="O719" i="2"/>
  <c r="P719" i="2" a="1"/>
  <c r="O720" i="2"/>
  <c r="P720" i="2" a="1"/>
  <c r="O721" i="2"/>
  <c r="P721" i="2" a="1"/>
  <c r="O722" i="2"/>
  <c r="P722" i="2" a="1"/>
  <c r="O723" i="2"/>
  <c r="P723" i="2" a="1"/>
  <c r="O724" i="2"/>
  <c r="P724" i="2" a="1"/>
  <c r="O725" i="2"/>
  <c r="P725" i="2" a="1"/>
  <c r="O726" i="2"/>
  <c r="P726" i="2" a="1"/>
  <c r="O727" i="2"/>
  <c r="P727" i="2" a="1"/>
  <c r="O728" i="2"/>
  <c r="P728" i="2" a="1"/>
  <c r="O729" i="2"/>
  <c r="P729" i="2" a="1"/>
  <c r="O730" i="2"/>
  <c r="P730" i="2" a="1"/>
  <c r="O731" i="2"/>
  <c r="P731" i="2" a="1"/>
  <c r="O732" i="2"/>
  <c r="P732" i="2" a="1"/>
  <c r="O733" i="2"/>
  <c r="P733" i="2" a="1"/>
  <c r="O734" i="2"/>
  <c r="P734" i="2" a="1"/>
  <c r="O735" i="2"/>
  <c r="P735" i="2" a="1"/>
  <c r="O736" i="2"/>
  <c r="P736" i="2" a="1"/>
  <c r="O737" i="2"/>
  <c r="P737" i="2" a="1"/>
  <c r="O738" i="2"/>
  <c r="P738" i="2" a="1"/>
  <c r="O739" i="2"/>
  <c r="P739" i="2" a="1"/>
  <c r="O740" i="2"/>
  <c r="P740" i="2" a="1"/>
  <c r="O741" i="2"/>
  <c r="P741" i="2" a="1"/>
  <c r="O742" i="2"/>
  <c r="P742" i="2" a="1"/>
  <c r="O743" i="2"/>
  <c r="P743" i="2" a="1"/>
  <c r="O744" i="2"/>
  <c r="P744" i="2" a="1"/>
  <c r="O745" i="2"/>
  <c r="P745" i="2" a="1"/>
  <c r="O746" i="2"/>
  <c r="P746" i="2" a="1"/>
  <c r="O747" i="2"/>
  <c r="P747" i="2" a="1"/>
  <c r="O748" i="2"/>
  <c r="P748" i="2" a="1"/>
  <c r="O749" i="2"/>
  <c r="P749" i="2" a="1"/>
  <c r="O750" i="2"/>
  <c r="P750" i="2" a="1"/>
  <c r="O751" i="2"/>
  <c r="P751" i="2" a="1"/>
  <c r="O752" i="2"/>
  <c r="P752" i="2" a="1"/>
  <c r="O753" i="2"/>
  <c r="P753" i="2" a="1"/>
  <c r="O754" i="2"/>
  <c r="P754" i="2" a="1"/>
  <c r="O755" i="2"/>
  <c r="P755" i="2" a="1"/>
  <c r="O756" i="2"/>
  <c r="P756" i="2" a="1"/>
  <c r="O757" i="2"/>
  <c r="P757" i="2" a="1"/>
  <c r="O758" i="2"/>
  <c r="P758" i="2" a="1"/>
  <c r="O759" i="2"/>
  <c r="P759" i="2" a="1"/>
  <c r="O760" i="2"/>
  <c r="P760" i="2" a="1"/>
  <c r="O761" i="2"/>
  <c r="P761" i="2" a="1"/>
  <c r="O762" i="2"/>
  <c r="P762" i="2" a="1"/>
  <c r="O763" i="2"/>
  <c r="P763" i="2" a="1"/>
  <c r="O764" i="2"/>
  <c r="P764" i="2" a="1"/>
  <c r="O765" i="2"/>
  <c r="P765" i="2" a="1"/>
  <c r="O766" i="2"/>
  <c r="P766" i="2" a="1"/>
  <c r="O767" i="2"/>
  <c r="P767" i="2" a="1"/>
  <c r="O768" i="2"/>
  <c r="P768" i="2" a="1"/>
  <c r="O769" i="2"/>
  <c r="P769" i="2" a="1"/>
  <c r="O770" i="2"/>
  <c r="P770" i="2" a="1"/>
  <c r="O771" i="2"/>
  <c r="P771" i="2" a="1"/>
  <c r="O772" i="2"/>
  <c r="P772" i="2" a="1"/>
  <c r="O773" i="2"/>
  <c r="P773" i="2" a="1"/>
  <c r="O774" i="2"/>
  <c r="P774" i="2" a="1"/>
  <c r="O775" i="2"/>
  <c r="P775" i="2" a="1"/>
  <c r="O776" i="2"/>
  <c r="P776" i="2" a="1"/>
  <c r="O777" i="2"/>
  <c r="P777" i="2" a="1"/>
  <c r="O778" i="2"/>
  <c r="P778" i="2" a="1"/>
  <c r="O779" i="2"/>
  <c r="P779" i="2" a="1"/>
  <c r="O780" i="2"/>
  <c r="P780" i="2" a="1"/>
  <c r="O781" i="2"/>
  <c r="P781" i="2" a="1"/>
  <c r="O782" i="2"/>
  <c r="P782" i="2" a="1"/>
  <c r="O783" i="2"/>
  <c r="P783" i="2" a="1"/>
  <c r="O784" i="2"/>
  <c r="P784" i="2" a="1"/>
  <c r="O785" i="2"/>
  <c r="P785" i="2" a="1"/>
  <c r="O786" i="2"/>
  <c r="P786" i="2" a="1"/>
  <c r="O787" i="2"/>
  <c r="P787" i="2" a="1"/>
  <c r="O788" i="2"/>
  <c r="P788" i="2" a="1"/>
  <c r="O789" i="2"/>
  <c r="P789" i="2" a="1"/>
  <c r="O790" i="2"/>
  <c r="P790" i="2" a="1"/>
  <c r="O791" i="2"/>
  <c r="P791" i="2" a="1"/>
  <c r="O792" i="2"/>
  <c r="P792" i="2" a="1"/>
  <c r="O793" i="2"/>
  <c r="P793" i="2" a="1"/>
  <c r="O794" i="2"/>
  <c r="P794" i="2" a="1"/>
  <c r="O795" i="2"/>
  <c r="P795" i="2" a="1"/>
  <c r="O796" i="2"/>
  <c r="P796" i="2" a="1"/>
  <c r="O797" i="2"/>
  <c r="P797" i="2" a="1"/>
  <c r="O798" i="2"/>
  <c r="P798" i="2" a="1"/>
  <c r="O799" i="2"/>
  <c r="P799" i="2" a="1"/>
  <c r="O800" i="2"/>
  <c r="P800" i="2" a="1"/>
  <c r="O801" i="2"/>
  <c r="P801" i="2" a="1"/>
  <c r="O802" i="2"/>
  <c r="P802" i="2" a="1"/>
  <c r="O803" i="2"/>
  <c r="P803" i="2" a="1"/>
  <c r="O804" i="2"/>
  <c r="P804" i="2" a="1"/>
  <c r="O805" i="2"/>
  <c r="P805" i="2" a="1"/>
  <c r="O806" i="2"/>
  <c r="P806" i="2" a="1"/>
  <c r="O807" i="2"/>
  <c r="P807" i="2" a="1"/>
  <c r="O808" i="2"/>
  <c r="P808" i="2" a="1"/>
  <c r="O809" i="2"/>
  <c r="P809" i="2" a="1"/>
  <c r="O810" i="2"/>
  <c r="P810" i="2" a="1"/>
  <c r="O811" i="2"/>
  <c r="P811" i="2" a="1"/>
  <c r="O812" i="2"/>
  <c r="P812" i="2" a="1"/>
  <c r="O813" i="2"/>
  <c r="P813" i="2" a="1"/>
  <c r="O814" i="2"/>
  <c r="P814" i="2" a="1"/>
  <c r="O815" i="2"/>
  <c r="P815" i="2" a="1"/>
  <c r="O816" i="2"/>
  <c r="P816" i="2" a="1"/>
  <c r="O817" i="2"/>
  <c r="P817" i="2" a="1"/>
  <c r="O818" i="2"/>
  <c r="P818" i="2" a="1"/>
  <c r="O819" i="2"/>
  <c r="P819" i="2" a="1"/>
  <c r="O820" i="2"/>
  <c r="P820" i="2" a="1"/>
  <c r="O821" i="2"/>
  <c r="P821" i="2" a="1"/>
  <c r="O822" i="2"/>
  <c r="P822" i="2" a="1"/>
  <c r="O823" i="2"/>
  <c r="P823" i="2" a="1"/>
  <c r="O824" i="2"/>
  <c r="P824" i="2" a="1"/>
  <c r="O825" i="2"/>
  <c r="P825" i="2" a="1"/>
  <c r="O826" i="2"/>
  <c r="P826" i="2" a="1"/>
  <c r="O827" i="2"/>
  <c r="P827" i="2" a="1"/>
  <c r="O828" i="2"/>
  <c r="P828" i="2" a="1"/>
  <c r="O829" i="2"/>
  <c r="P829" i="2" a="1"/>
  <c r="O830" i="2"/>
  <c r="P830" i="2" a="1"/>
  <c r="O831" i="2"/>
  <c r="P831" i="2" a="1"/>
  <c r="O832" i="2"/>
  <c r="P832" i="2" a="1"/>
  <c r="O833" i="2"/>
  <c r="P833" i="2" a="1"/>
  <c r="O834" i="2"/>
  <c r="P834" i="2" a="1"/>
  <c r="O835" i="2"/>
  <c r="P835" i="2" a="1"/>
  <c r="O836" i="2"/>
  <c r="P836" i="2" a="1"/>
  <c r="O837" i="2"/>
  <c r="P837" i="2" a="1"/>
  <c r="O838" i="2"/>
  <c r="P838" i="2" a="1"/>
  <c r="O839" i="2"/>
  <c r="P839" i="2" a="1"/>
  <c r="O840" i="2"/>
  <c r="P840" i="2" a="1"/>
  <c r="O841" i="2"/>
  <c r="P841" i="2" a="1"/>
  <c r="O842" i="2"/>
  <c r="P842" i="2" a="1"/>
  <c r="O843" i="2"/>
  <c r="P843" i="2" a="1"/>
  <c r="O844" i="2"/>
  <c r="P844" i="2" a="1"/>
  <c r="O845" i="2"/>
  <c r="P845" i="2" a="1"/>
  <c r="O846" i="2"/>
  <c r="P846" i="2" a="1"/>
  <c r="O847" i="2"/>
  <c r="P847" i="2" a="1"/>
  <c r="O848" i="2"/>
  <c r="P848" i="2" a="1"/>
  <c r="O849" i="2"/>
  <c r="P849" i="2" a="1"/>
  <c r="O850" i="2"/>
  <c r="P850" i="2" a="1"/>
  <c r="O851" i="2"/>
  <c r="P851" i="2" a="1"/>
  <c r="O852" i="2"/>
  <c r="P852" i="2" a="1"/>
  <c r="O853" i="2"/>
  <c r="P853" i="2" a="1"/>
  <c r="O854" i="2"/>
  <c r="P854" i="2" a="1"/>
  <c r="O855" i="2"/>
  <c r="P855" i="2" a="1"/>
  <c r="O856" i="2"/>
  <c r="P856" i="2" a="1"/>
  <c r="O857" i="2"/>
  <c r="P857" i="2" a="1"/>
  <c r="O858" i="2"/>
  <c r="P858" i="2" a="1"/>
  <c r="O859" i="2"/>
  <c r="P859" i="2" a="1"/>
  <c r="O860" i="2"/>
  <c r="P860" i="2" a="1"/>
  <c r="O861" i="2"/>
  <c r="P861" i="2" a="1"/>
  <c r="O862" i="2"/>
  <c r="P862" i="2" a="1"/>
  <c r="O863" i="2"/>
  <c r="P863" i="2" a="1"/>
  <c r="O864" i="2"/>
  <c r="P864" i="2" a="1"/>
  <c r="O865" i="2"/>
  <c r="P865" i="2" a="1"/>
  <c r="O866" i="2"/>
  <c r="P866" i="2" a="1"/>
  <c r="O867" i="2"/>
  <c r="P867" i="2" a="1"/>
  <c r="O868" i="2"/>
  <c r="P868" i="2" a="1"/>
  <c r="O869" i="2"/>
  <c r="P869" i="2" a="1"/>
  <c r="O870" i="2"/>
  <c r="P870" i="2" a="1"/>
  <c r="O871" i="2"/>
  <c r="P871" i="2" a="1"/>
  <c r="O872" i="2"/>
  <c r="P872" i="2" a="1"/>
  <c r="O873" i="2"/>
  <c r="P873" i="2" a="1"/>
  <c r="O874" i="2"/>
  <c r="P874" i="2" a="1"/>
  <c r="O875" i="2"/>
  <c r="P875" i="2" a="1"/>
  <c r="O876" i="2"/>
  <c r="P876" i="2" a="1"/>
  <c r="O877" i="2"/>
  <c r="P877" i="2" a="1"/>
  <c r="O878" i="2"/>
  <c r="P878" i="2" a="1"/>
  <c r="O879" i="2"/>
  <c r="P879" i="2" a="1"/>
  <c r="O880" i="2"/>
  <c r="P880" i="2" a="1"/>
  <c r="O881" i="2"/>
  <c r="P881" i="2" a="1"/>
  <c r="O882" i="2"/>
  <c r="P882" i="2" a="1"/>
  <c r="O883" i="2"/>
  <c r="P883" i="2" a="1"/>
  <c r="O884" i="2"/>
  <c r="P884" i="2" a="1"/>
  <c r="O885" i="2"/>
  <c r="P885" i="2" a="1"/>
  <c r="O886" i="2"/>
  <c r="P886" i="2" a="1"/>
  <c r="O887" i="2"/>
  <c r="P887" i="2" a="1"/>
  <c r="O888" i="2"/>
  <c r="P888" i="2" a="1"/>
  <c r="O889" i="2"/>
  <c r="P889" i="2" a="1"/>
  <c r="O890" i="2"/>
  <c r="P890" i="2" a="1"/>
  <c r="O891" i="2"/>
  <c r="P891" i="2" a="1"/>
  <c r="O892" i="2"/>
  <c r="P892" i="2" a="1"/>
  <c r="O893" i="2"/>
  <c r="P893" i="2" a="1"/>
  <c r="O894" i="2"/>
  <c r="P894" i="2" a="1"/>
  <c r="O895" i="2"/>
  <c r="P895" i="2" a="1"/>
  <c r="O896" i="2"/>
  <c r="P896" i="2" a="1"/>
  <c r="O897" i="2"/>
  <c r="P897" i="2" a="1"/>
  <c r="O898" i="2"/>
  <c r="P898" i="2" a="1"/>
  <c r="O899" i="2"/>
  <c r="P899" i="2" a="1"/>
  <c r="O900" i="2"/>
  <c r="P900" i="2" a="1"/>
  <c r="O901" i="2"/>
  <c r="P901" i="2" a="1"/>
  <c r="O902" i="2"/>
  <c r="P902" i="2" a="1"/>
  <c r="O903" i="2"/>
  <c r="P903" i="2" a="1"/>
  <c r="O904" i="2"/>
  <c r="P904" i="2" a="1"/>
  <c r="O905" i="2"/>
  <c r="P905" i="2" a="1"/>
  <c r="O906" i="2"/>
  <c r="P906" i="2" a="1"/>
  <c r="O907" i="2"/>
  <c r="P907" i="2" a="1"/>
  <c r="O908" i="2"/>
  <c r="P908" i="2" a="1"/>
  <c r="O909" i="2"/>
  <c r="P909" i="2" a="1"/>
  <c r="O910" i="2"/>
  <c r="P910" i="2" a="1"/>
  <c r="O911" i="2"/>
  <c r="P911" i="2" a="1"/>
  <c r="O912" i="2"/>
  <c r="P912" i="2" a="1"/>
  <c r="O913" i="2"/>
  <c r="P913" i="2" a="1"/>
  <c r="O914" i="2"/>
  <c r="P914" i="2" a="1"/>
  <c r="O915" i="2"/>
  <c r="P915" i="2" a="1"/>
  <c r="O916" i="2"/>
  <c r="P916" i="2" a="1"/>
  <c r="O917" i="2"/>
  <c r="P917" i="2" a="1"/>
  <c r="O918" i="2"/>
  <c r="P918" i="2" a="1"/>
  <c r="O919" i="2"/>
  <c r="P919" i="2" a="1"/>
  <c r="O920" i="2"/>
  <c r="P920" i="2" a="1"/>
  <c r="O921" i="2"/>
  <c r="P921" i="2" a="1"/>
  <c r="O922" i="2"/>
  <c r="P922" i="2" a="1"/>
  <c r="O923" i="2"/>
  <c r="P923" i="2" a="1"/>
  <c r="O924" i="2"/>
  <c r="P924" i="2" a="1"/>
  <c r="O925" i="2"/>
  <c r="P925" i="2" a="1"/>
  <c r="O926" i="2"/>
  <c r="P926" i="2" a="1"/>
  <c r="O927" i="2"/>
  <c r="P927" i="2" a="1"/>
  <c r="O928" i="2"/>
  <c r="P928" i="2" a="1"/>
  <c r="O929" i="2"/>
  <c r="P929" i="2" a="1"/>
  <c r="O930" i="2"/>
  <c r="P930" i="2" a="1"/>
  <c r="O931" i="2"/>
  <c r="P931" i="2" a="1"/>
  <c r="O932" i="2"/>
  <c r="P932" i="2" a="1"/>
  <c r="O933" i="2"/>
  <c r="P933" i="2" a="1"/>
  <c r="O934" i="2"/>
  <c r="P934" i="2" a="1"/>
  <c r="O935" i="2"/>
  <c r="P935" i="2" a="1"/>
  <c r="O936" i="2"/>
  <c r="P936" i="2" a="1"/>
  <c r="O937" i="2"/>
  <c r="P937" i="2" a="1"/>
  <c r="O938" i="2"/>
  <c r="P938" i="2" a="1"/>
  <c r="O939" i="2"/>
  <c r="P939" i="2" a="1"/>
  <c r="O940" i="2"/>
  <c r="P940" i="2" a="1"/>
  <c r="O941" i="2"/>
  <c r="P941" i="2" a="1"/>
  <c r="O942" i="2"/>
  <c r="P942" i="2" a="1"/>
  <c r="O943" i="2"/>
  <c r="P943" i="2" a="1"/>
  <c r="O944" i="2"/>
  <c r="P944" i="2" a="1"/>
  <c r="O945" i="2"/>
  <c r="P945" i="2" a="1"/>
  <c r="O946" i="2"/>
  <c r="P946" i="2" a="1"/>
  <c r="O947" i="2"/>
  <c r="P947" i="2" a="1"/>
  <c r="O948" i="2"/>
  <c r="P948" i="2" a="1"/>
  <c r="O949" i="2"/>
  <c r="P949" i="2" a="1"/>
  <c r="O950" i="2"/>
  <c r="P950" i="2" a="1"/>
  <c r="O951" i="2"/>
  <c r="P951" i="2" a="1"/>
  <c r="O952" i="2"/>
  <c r="P952" i="2" a="1"/>
  <c r="O953" i="2"/>
  <c r="P953" i="2" a="1"/>
  <c r="O954" i="2"/>
  <c r="P954" i="2" a="1"/>
  <c r="O955" i="2"/>
  <c r="P955" i="2" a="1"/>
  <c r="O956" i="2"/>
  <c r="P956" i="2" a="1"/>
  <c r="O957" i="2"/>
  <c r="P957" i="2" a="1"/>
  <c r="O958" i="2"/>
  <c r="P958" i="2" a="1"/>
  <c r="O959" i="2"/>
  <c r="P959" i="2" a="1"/>
  <c r="O960" i="2"/>
  <c r="P960" i="2" a="1"/>
  <c r="O961" i="2"/>
  <c r="P961" i="2" a="1"/>
  <c r="O962" i="2"/>
  <c r="P962" i="2" a="1"/>
  <c r="O963" i="2"/>
  <c r="P963" i="2" a="1"/>
  <c r="O964" i="2"/>
  <c r="P964" i="2" a="1"/>
  <c r="O965" i="2"/>
  <c r="P965" i="2" a="1"/>
  <c r="O966" i="2"/>
  <c r="P966" i="2" a="1"/>
  <c r="O967" i="2"/>
  <c r="P967" i="2" a="1"/>
  <c r="O968" i="2"/>
  <c r="P968" i="2" a="1"/>
  <c r="O969" i="2"/>
  <c r="P969" i="2" a="1"/>
  <c r="O970" i="2"/>
  <c r="P970" i="2" a="1"/>
  <c r="O971" i="2"/>
  <c r="P971" i="2" a="1"/>
  <c r="O972" i="2"/>
  <c r="P972" i="2" a="1"/>
  <c r="O973" i="2"/>
  <c r="P973" i="2" a="1"/>
  <c r="O974" i="2"/>
  <c r="P974" i="2" a="1"/>
  <c r="O975" i="2"/>
  <c r="P975" i="2" a="1"/>
  <c r="O976" i="2"/>
  <c r="P976" i="2" a="1"/>
  <c r="O977" i="2"/>
  <c r="P977" i="2" a="1"/>
  <c r="O978" i="2"/>
  <c r="P978" i="2" a="1"/>
  <c r="O979" i="2"/>
  <c r="P979" i="2" a="1"/>
  <c r="O980" i="2"/>
  <c r="P980" i="2" a="1"/>
  <c r="O981" i="2"/>
  <c r="P981" i="2" a="1"/>
  <c r="O982" i="2"/>
  <c r="P982" i="2" a="1"/>
  <c r="O983" i="2"/>
  <c r="P983" i="2" a="1"/>
  <c r="O984" i="2"/>
  <c r="P984" i="2" a="1"/>
  <c r="O985" i="2"/>
  <c r="P985" i="2" a="1"/>
  <c r="O986" i="2"/>
  <c r="P986" i="2" a="1"/>
  <c r="O987" i="2"/>
  <c r="P987" i="2" a="1"/>
  <c r="O988" i="2"/>
  <c r="P988" i="2" a="1"/>
  <c r="O989" i="2"/>
  <c r="P989" i="2" a="1"/>
  <c r="O990" i="2"/>
  <c r="P990" i="2" a="1"/>
  <c r="O991" i="2"/>
  <c r="P991" i="2" a="1"/>
  <c r="O992" i="2"/>
  <c r="P992" i="2" a="1"/>
  <c r="O993" i="2"/>
  <c r="P993" i="2" a="1"/>
  <c r="O994" i="2"/>
  <c r="P994" i="2" a="1"/>
  <c r="O995" i="2"/>
  <c r="P995" i="2" a="1"/>
  <c r="O996" i="2"/>
  <c r="P996" i="2" a="1"/>
  <c r="O997" i="2"/>
  <c r="P997" i="2" a="1"/>
  <c r="O998" i="2"/>
  <c r="P998" i="2" a="1"/>
  <c r="O999" i="2"/>
  <c r="P999" i="2" a="1"/>
  <c r="O1000" i="2"/>
  <c r="P1000" i="2" a="1"/>
  <c r="O1001" i="2"/>
  <c r="P1001" i="2" a="1"/>
  <c r="P2" i="2" a="1"/>
  <c r="O2" i="2"/>
  <c r="M1001" i="2"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<sst xmlns="http://schemas.openxmlformats.org/spreadsheetml/2006/main" count="16398" uniqueCount="133">
  <si>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</si>
  <si>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</si>
  <si>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</si>
  <si>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</si>
  <si>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</si>
  <si>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</si>
  <si>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</si>
  <si>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</si>
  <si>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</si>
  <si>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</si>
  <si>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</si>
  <si>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</si>
  <si>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</si>
  <si>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</si>
  <si>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</si>
  <si>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</si>
  <si>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</si>
  <si>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</si>
  <si>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</si>
  <si>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</si>
  <si>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</si>
  <si>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</si>
  <si>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</si>
  <si>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</si>
  <si>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</si>
  <si>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</si>
  <si>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</si>
  <si>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</si>
  <si>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</si>
  <si>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</si>
  <si>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</si>
  <si>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</si>
  <si>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</si>
  <si>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</si>
  <si>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</si>
  <si>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</si>
  <si>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</si>
  <si>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</si>
  <si>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</si>
  <si>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</si>
  <si>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</si>
  <si>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</si>
  <si>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</si>
  <si>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</si>
  <si>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</si>
  <si>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</si>
  <si>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</si>
  <si>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</si>
  <si>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</si>
  <si>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</si>
  <si>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</si>
  <si>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</si>
  <si>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</si>
  <si>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</si>
  <si>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</si>
  <si>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</si>
  <si>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</si>
  <si>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</si>
  <si>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</si>
  <si>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</si>
  <si>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</si>
  <si>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</si>
  <si>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</si>
  <si>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</si>
  <si>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</si>
  <si>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</si>
  <si>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</si>
  <si>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</si>
  <si>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</si>
  <si>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</si>
  <si>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</si>
  <si>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</si>
  <si>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</si>
  <si>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</si>
  <si>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</si>
  <si>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</si>
  <si>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</si>
  <si>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</si>
  <si>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</si>
  <si>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</si>
  <si>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</si>
  <si>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</si>
  <si>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</si>
  <si>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</si>
  <si>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</si>
  <si>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</si>
  <si>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</si>
  <si>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</si>
  <si>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</si>
  <si>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</si>
  <si>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</si>
  <si>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</si>
  <si>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pu</t>
  </si>
  <si>
    <t>Purchased Flag</t>
  </si>
  <si>
    <t>Income Band</t>
  </si>
  <si>
    <t>Purchase rate by customer attribute (all 1,000 customers)</t>
  </si>
  <si>
    <t>Customers = count of ID. Purchase Rate = average of Purchased Flag</t>
  </si>
  <si>
    <t>Customers</t>
  </si>
  <si>
    <t>Purchase Rate</t>
  </si>
  <si>
    <t xml:space="preserve">	Commute Distance</t>
  </si>
  <si>
    <t>1. Up to 40K</t>
  </si>
  <si>
    <t>2. 40-60K</t>
  </si>
  <si>
    <t>3. 60-80K</t>
  </si>
  <si>
    <t>4. Over 80K</t>
  </si>
  <si>
    <t>Avg Income</t>
  </si>
  <si>
    <t>TOTAL CUSTOMERS</t>
  </si>
  <si>
    <t>PURCHASE RATE</t>
  </si>
  <si>
    <t>AVG INCOME</t>
  </si>
  <si>
    <t>Create a new column with Age Range values:
_ Age &lt; 31: Young Adult
_ 31 &lt;= Age &lt;= 55: Middle Age
_ Age &gt; 55: Old</t>
  </si>
  <si>
    <t>_ Male have higher average income than female
_ Buyers earn about 6% more on average ($57,963 vs $54,875), but the purchase rate stays between 47% and 53% across income bands</t>
  </si>
  <si>
    <t>_ 0-1 miles is the largest group (36.6% of customers)
_ Purchase rate is lowest above 10 miles (29.7%)</t>
  </si>
  <si>
    <t>_ Middle Age is the largest group (71.9% of customers) and buys most often (54.0%)</t>
  </si>
  <si>
    <t>Answers</t>
  </si>
  <si>
    <t>Weak link: buyers earn about 6% more, purchase rate 47-53% across income bands</t>
  </si>
  <si>
    <t>Partly: lowest above 10 miles (29.7%), highest at 2-5 miles (58.6%), no clean trend</t>
  </si>
  <si>
    <t>Yes: Middle Age 54.0% vs Old 31.6%</t>
  </si>
  <si>
    <t>Yes: Single 54.1% vs Married 42.9%</t>
  </si>
  <si>
    <t>Yes: Pacific 58.9% vs North America 43.3%</t>
  </si>
  <si>
    <t>Yes: Bachelors 55.2% vs Partial High School 26.3% (only 76 customers)</t>
  </si>
  <si>
    <t xml:space="preserve">	Helper columns</t>
  </si>
  <si>
    <t>Add formulas</t>
  </si>
  <si>
    <t>_ Purchased Flag: =IF(N2="Yes",1,0), so the average is the purchase rate
_ Income Band: IFS on Income, four bands (up to 40K, 40-60K, 60-80K, over 80K)</t>
  </si>
  <si>
    <t>Findings</t>
  </si>
  <si>
    <t xml:space="preserve">	Create Findings sheet</t>
  </si>
  <si>
    <t>_ 7 PivotTables: Customers and Purchase Rate by cars, age range, commute distance, region, marital status, income band, education</t>
  </si>
  <si>
    <t>Which attributes separate buyers best?</t>
  </si>
  <si>
    <t>Cars, age range and commute distance; income is weak</t>
  </si>
  <si>
    <t>Dashboard state</t>
  </si>
  <si>
    <t>Clear slicers, fix charts</t>
  </si>
  <si>
    <t>_ Slicers reset to all customers
_ Income axis starts at zero (auto axis started at $44,000)
_ Line charts replaced by column charts, field buttons hidden</t>
  </si>
  <si>
    <t xml:space="preserve">	KPI cards</t>
  </si>
  <si>
    <t>Add KPI PivotTable</t>
  </si>
  <si>
    <t xml:space="preserve">_ Customers, Purchase Rate, Avg Income via GETPIVOTDATA, connected to the 3 slicers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</si>
</sst>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71" formatCode="0.0%"/>
  </numFmts>
  <fonts count="23"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
      <b/>
      <sz val="11"/>
      <color theme="1"/>
      <name val="Arial"/>
      <family val="2"/>
      <charset val="163"/>
      <scheme val="minor"/>
    </font>
    <font>
      <b/>
      <sz val="14"/>
      <color theme="1"/>
      <name val="Arial"/>
      <family val="2"/>
      <charset val="163"/>
      <scheme val="minor"/>
    </font>
    <font>
      <b/>
      <sz val="28"/>
      <color theme="0"/>
      <name val="Arial"/>
      <family val="2"/>
      <charset val="163"/>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
      <patternFill patternType="solid">
        <fgColor rgb="FF005A9E"/>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top/>
      <bottom/>
      <diagonal/>
    </border>
    <border>
      <left/>
      <right style="thick">
        <color theme="0"/>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xf numFmtId="0" fontId="20" fillId="0" borderId="0" xfId="0" applyFont="1"/>
    <xf numFmtId="0" fontId="21" fillId="0" borderId="0" xfId="0" applyFont="1"/>
    <xf numFmtId="171" fontId="0" fillId="0" borderId="0" xfId="0" applyNumberFormat="1"/>
    <xf numFmtId="0" fontId="17" fillId="34" borderId="0" xfId="0" applyFont="1" applyFill="1" applyBorder="1" applyAlignment="1">
      <alignment horizontal="center" vertical="center"/>
    </xf>
    <xf numFmtId="171" fontId="22" fillId="33" borderId="0" xfId="0" applyNumberFormat="1" applyFont="1" applyFill="1" applyBorder="1" applyAlignment="1">
      <alignment horizontal="center" vertical="center"/>
    </xf>
    <xf numFmtId="165" fontId="22" fillId="33" borderId="0" xfId="0" applyNumberFormat="1" applyFont="1" applyFill="1" applyBorder="1" applyAlignment="1">
      <alignment horizontal="center" vertical="center"/>
    </xf>
    <xf numFmtId="0" fontId="22" fillId="33" borderId="0" xfId="0" applyFont="1" applyFill="1" applyBorder="1" applyAlignment="1">
      <alignment horizontal="center" vertical="center"/>
    </xf>
    <xf numFmtId="0" fontId="17" fillId="34" borderId="11" xfId="0" applyFont="1" applyFill="1" applyBorder="1" applyAlignment="1">
      <alignment horizontal="center" vertical="center"/>
    </xf>
    <xf numFmtId="0" fontId="17" fillId="34" borderId="10" xfId="0" applyFont="1" applyFill="1" applyBorder="1" applyAlignment="1">
      <alignment horizontal="center" vertical="center"/>
    </xf>
    <xf numFmtId="171" fontId="22" fillId="33" borderId="10" xfId="0" applyNumberFormat="1" applyFont="1" applyFill="1" applyBorder="1" applyAlignment="1">
      <alignment horizontal="center" vertical="center"/>
    </xf>
    <xf numFmtId="171" fontId="22" fillId="33" borderId="11" xfId="0" applyNumberFormat="1" applyFont="1" applyFill="1" applyBorder="1" applyAlignment="1">
      <alignment horizontal="center" vertical="center"/>
    </xf>
    <xf numFmtId="3" fontId="22" fillId="33" borderId="0" xfId="0" applyNumberFormat="1" applyFont="1" applyFill="1" applyBorder="1" applyAlignment="1">
      <alignment horizontal="center" vertical="center"/>
    </xf>
    <xf numFmtId="3" fontId="22" fillId="33" borderId="11" xfId="0" applyNumberFormat="1"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colors>
    <mruColors>
      <color rgb="FF0070C0"/>
      <color rgb="FF005A9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7441585045772"/>
          <c:y val="0.26124892123693072"/>
          <c:w val="0.75767436463734716"/>
          <c:h val="0.42671895644470242"/>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E2B8-4529-924B-9EA519D51AFE}"/>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166</c:v>
                </c:pt>
                <c:pt idx="1">
                  <c:v>92</c:v>
                </c:pt>
                <c:pt idx="2">
                  <c:v>116</c:v>
                </c:pt>
                <c:pt idx="3">
                  <c:v>78</c:v>
                </c:pt>
                <c:pt idx="4">
                  <c:v>67</c:v>
                </c:pt>
              </c:numCache>
            </c:numRef>
          </c:val>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200</c:v>
                </c:pt>
                <c:pt idx="1">
                  <c:v>77</c:v>
                </c:pt>
                <c:pt idx="2">
                  <c:v>76</c:v>
                </c:pt>
                <c:pt idx="3">
                  <c:v>33</c:v>
                </c:pt>
                <c:pt idx="4">
                  <c:v>95</c:v>
                </c:pt>
              </c:numCache>
            </c:numRef>
          </c:val>
          <c:extLst>
            <c:ext xmlns:c16="http://schemas.microsoft.com/office/drawing/2014/chart" uri="{C3380CC4-5D6E-409C-BE32-E72D297353CC}">
              <c16:uniqueId val="{00000001-1281-4EE8-9A4A-A5750BEEB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E6C5-44FE-9F7E-DE9559CE26A8}"/>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166</c:v>
                </c:pt>
                <c:pt idx="1">
                  <c:v>92</c:v>
                </c:pt>
                <c:pt idx="2">
                  <c:v>116</c:v>
                </c:pt>
                <c:pt idx="3">
                  <c:v>78</c:v>
                </c:pt>
                <c:pt idx="4">
                  <c:v>67</c:v>
                </c:pt>
              </c:numCache>
            </c:numRef>
          </c:val>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200</c:v>
                </c:pt>
                <c:pt idx="1">
                  <c:v>77</c:v>
                </c:pt>
                <c:pt idx="2">
                  <c:v>76</c:v>
                </c:pt>
                <c:pt idx="3">
                  <c:v>33</c:v>
                </c:pt>
                <c:pt idx="4">
                  <c:v>95</c:v>
                </c:pt>
              </c:numCache>
            </c:numRef>
          </c:val>
          <c:extLst>
            <c:ext xmlns:c16="http://schemas.microsoft.com/office/drawing/2014/chart" uri="{C3380CC4-5D6E-409C-BE32-E72D297353CC}">
              <c16:uniqueId val="{00000001-EA26-4CE9-BB40-68174AFF4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35670215828276797"/>
          <c:w val="0.86025996427327001"/>
          <c:h val="0.43373516573038062"/>
        </c:manualLayout>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C55D-46D3-B32B-6AF3FF865664}"/>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9324837167012"/>
          <c:y val="0.36346021391944228"/>
          <c:w val="0.81469754277942574"/>
          <c:h val="0.34287599221231291"/>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5036-4CD3-AD1C-3E7B18CBDD00}"/>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xdr:row>
      <xdr:rowOff>157842</xdr:rowOff>
    </xdr:from>
    <xdr:to>
      <xdr:col>12</xdr:col>
      <xdr:colOff>93133</xdr:colOff>
      <xdr:row>34</xdr:row>
      <xdr:rowOff>152400</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34696</xdr:colOff>
      <xdr:row>6</xdr:row>
      <xdr:rowOff>3341</xdr:rowOff>
    </xdr:from>
    <xdr:to>
      <xdr:col>12</xdr:col>
      <xdr:colOff>76200</xdr:colOff>
      <xdr:row>20</xdr:row>
      <xdr:rowOff>8467</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6</xdr:row>
      <xdr:rowOff>3341</xdr:rowOff>
    </xdr:from>
    <xdr:to>
      <xdr:col>6</xdr:col>
      <xdr:colOff>16933</xdr:colOff>
      <xdr:row>19</xdr:row>
      <xdr:rowOff>135468</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76199</xdr:colOff>
      <xdr:row>4</xdr:row>
      <xdr:rowOff>13003</xdr:rowOff>
    </xdr:from>
    <xdr:to>
      <xdr:col>15</xdr:col>
      <xdr:colOff>20561</xdr:colOff>
      <xdr:row>7</xdr:row>
      <xdr:rowOff>165706</xdr:rowOff>
    </xdr:to>
    <mc:AlternateContent xmlns:mc="http://schemas.openxmlformats.org/markup-compatibility/2006">
      <mc:Choice xmlns:a14="http://schemas.microsoft.com/office/drawing/2010/main"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8122919" y="714043"/>
              <a:ext cx="1956042" cy="952803"/>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92527</xdr:colOff>
      <xdr:row>7</xdr:row>
      <xdr:rowOff>151797</xdr:rowOff>
    </xdr:from>
    <xdr:to>
      <xdr:col>15</xdr:col>
      <xdr:colOff>36889</xdr:colOff>
      <xdr:row>14</xdr:row>
      <xdr:rowOff>102810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139247" y="1652937"/>
              <a:ext cx="1956042" cy="1177833"/>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92530</xdr:colOff>
      <xdr:row>14</xdr:row>
      <xdr:rowOff>113695</xdr:rowOff>
    </xdr:from>
    <xdr:to>
      <xdr:col>15</xdr:col>
      <xdr:colOff>36892</xdr:colOff>
      <xdr:row>24</xdr:row>
      <xdr:rowOff>59267</xdr:rowOff>
    </xdr:to>
    <mc:AlternateContent xmlns:mc="http://schemas.openxmlformats.org/markup-compatibility/2006">
      <mc:Choice xmlns:a14="http://schemas.microsoft.com/office/drawing/2010/main"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8139250" y="2841655"/>
              <a:ext cx="1956042" cy="1698172"/>
            </a:xfrm>
            <a:prstGeom prst="rect">
              <a:avLst/>
            </a:prstGeom>
            <a:solidFill>
              <a:prstClr val="white"/>
            </a:solidFill>
            <a:ln w="1">
              <a:solidFill>
                <a:prstClr val="green"/>
              </a:solidFill>
            </a:ln>
          </xdr:spPr>
          <xdr:txBody>
            <a:bodyPr vertOverflow="clip" horzOverflow="clip"/>
            <a:lstStyle/>
            <a:p>
              <a:r>
                <a:rPr lang="vi-V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3.786941666665" missingItemsLimit="0" createdVersion="8" refreshedVersion="8" minRefreshableVersion="3" recordCount="1000" xr:uid="{3C199F8B-18DA-468B-89C0-5FB735E91AD9}">
  <cacheSource type="worksheet">
    <worksheetSource ref="A1:P1001" sheet="Working_Sheet"/>
  </cacheSource>
  <cacheFields count="16">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 name="Purchased Flag" numFmtId="0">
      <sharedItems containsSemiMixedTypes="0" containsString="0" containsNumber="1" containsInteger="1" minValue="0" maxValue="1"/>
    </cacheField>
    <cacheField name="Income Band" numFmtId="0">
      <sharedItems count="4">
        <s v="1. Up to 40K"/>
        <s v="3. 60-80K"/>
        <s v="4. Over 80K"/>
        <s v="2. 40-60K"/>
      </sharedItems>
    </cacheField>
  </cacheFields>
  <extLst>
    <ext xmlns:x14="http://schemas.microsoft.com/office/spreadsheetml/2009/9/main" uri="{725AE2AE-9491-48be-B2B4-4EB974FC3084}">
      <x14:pivotCacheDefinition pivotCacheId="30524327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n v="1"/>
    <x v="0"/>
    <s v="Skilled Manual"/>
    <s v="Yes"/>
    <x v="0"/>
    <x v="0"/>
    <x v="0"/>
    <n v="42"/>
    <x v="0"/>
    <x v="0"/>
    <n v="0"/>
    <x v="0"/>
  </r>
  <r>
    <n v="24107"/>
    <x v="0"/>
    <x v="1"/>
    <x v="1"/>
    <n v="3"/>
    <x v="1"/>
    <s v="Clerical"/>
    <s v="Yes"/>
    <x v="1"/>
    <x v="0"/>
    <x v="0"/>
    <n v="43"/>
    <x v="0"/>
    <x v="0"/>
    <n v="0"/>
    <x v="0"/>
  </r>
  <r>
    <n v="14177"/>
    <x v="0"/>
    <x v="1"/>
    <x v="2"/>
    <n v="5"/>
    <x v="1"/>
    <s v="Professional"/>
    <s v="No"/>
    <x v="2"/>
    <x v="1"/>
    <x v="0"/>
    <n v="60"/>
    <x v="1"/>
    <x v="0"/>
    <n v="0"/>
    <x v="1"/>
  </r>
  <r>
    <n v="24381"/>
    <x v="1"/>
    <x v="1"/>
    <x v="3"/>
    <n v="0"/>
    <x v="0"/>
    <s v="Professional"/>
    <s v="Yes"/>
    <x v="1"/>
    <x v="2"/>
    <x v="1"/>
    <n v="41"/>
    <x v="0"/>
    <x v="1"/>
    <n v="1"/>
    <x v="1"/>
  </r>
  <r>
    <n v="25597"/>
    <x v="1"/>
    <x v="1"/>
    <x v="1"/>
    <n v="0"/>
    <x v="0"/>
    <s v="Clerical"/>
    <s v="No"/>
    <x v="0"/>
    <x v="0"/>
    <x v="0"/>
    <n v="36"/>
    <x v="0"/>
    <x v="1"/>
    <n v="1"/>
    <x v="0"/>
  </r>
  <r>
    <n v="13507"/>
    <x v="0"/>
    <x v="0"/>
    <x v="4"/>
    <n v="2"/>
    <x v="1"/>
    <s v="Manual"/>
    <s v="Yes"/>
    <x v="0"/>
    <x v="3"/>
    <x v="0"/>
    <n v="50"/>
    <x v="0"/>
    <x v="0"/>
    <n v="0"/>
    <x v="0"/>
  </r>
  <r>
    <n v="27974"/>
    <x v="1"/>
    <x v="1"/>
    <x v="5"/>
    <n v="2"/>
    <x v="2"/>
    <s v="Management"/>
    <s v="Yes"/>
    <x v="3"/>
    <x v="0"/>
    <x v="1"/>
    <n v="33"/>
    <x v="0"/>
    <x v="1"/>
    <n v="1"/>
    <x v="2"/>
  </r>
  <r>
    <n v="19364"/>
    <x v="0"/>
    <x v="1"/>
    <x v="0"/>
    <n v="1"/>
    <x v="0"/>
    <s v="Skilled Manual"/>
    <s v="Yes"/>
    <x v="0"/>
    <x v="0"/>
    <x v="0"/>
    <n v="43"/>
    <x v="0"/>
    <x v="1"/>
    <n v="1"/>
    <x v="0"/>
  </r>
  <r>
    <n v="22155"/>
    <x v="0"/>
    <x v="1"/>
    <x v="6"/>
    <n v="2"/>
    <x v="3"/>
    <s v="Clerical"/>
    <s v="Yes"/>
    <x v="2"/>
    <x v="2"/>
    <x v="1"/>
    <n v="58"/>
    <x v="1"/>
    <x v="0"/>
    <n v="0"/>
    <x v="0"/>
  </r>
  <r>
    <n v="19280"/>
    <x v="0"/>
    <x v="1"/>
    <x v="7"/>
    <n v="2"/>
    <x v="1"/>
    <s v="Manual"/>
    <s v="Yes"/>
    <x v="1"/>
    <x v="0"/>
    <x v="0"/>
    <n v="40"/>
    <x v="0"/>
    <x v="1"/>
    <n v="1"/>
    <x v="2"/>
  </r>
  <r>
    <n v="22173"/>
    <x v="0"/>
    <x v="0"/>
    <x v="1"/>
    <n v="3"/>
    <x v="2"/>
    <s v="Skilled Manual"/>
    <s v="No"/>
    <x v="2"/>
    <x v="3"/>
    <x v="1"/>
    <n v="54"/>
    <x v="0"/>
    <x v="1"/>
    <n v="1"/>
    <x v="0"/>
  </r>
  <r>
    <n v="12697"/>
    <x v="1"/>
    <x v="0"/>
    <x v="8"/>
    <n v="0"/>
    <x v="0"/>
    <s v="Professional"/>
    <s v="No"/>
    <x v="3"/>
    <x v="4"/>
    <x v="1"/>
    <n v="36"/>
    <x v="0"/>
    <x v="0"/>
    <n v="0"/>
    <x v="2"/>
  </r>
  <r>
    <n v="11434"/>
    <x v="0"/>
    <x v="1"/>
    <x v="9"/>
    <n v="5"/>
    <x v="1"/>
    <s v="Professional"/>
    <s v="Yes"/>
    <x v="0"/>
    <x v="0"/>
    <x v="0"/>
    <n v="55"/>
    <x v="0"/>
    <x v="0"/>
    <n v="0"/>
    <x v="2"/>
  </r>
  <r>
    <n v="25323"/>
    <x v="0"/>
    <x v="1"/>
    <x v="0"/>
    <n v="2"/>
    <x v="1"/>
    <s v="Clerical"/>
    <s v="Yes"/>
    <x v="1"/>
    <x v="3"/>
    <x v="0"/>
    <n v="35"/>
    <x v="0"/>
    <x v="1"/>
    <n v="1"/>
    <x v="0"/>
  </r>
  <r>
    <n v="23542"/>
    <x v="1"/>
    <x v="1"/>
    <x v="10"/>
    <n v="1"/>
    <x v="1"/>
    <s v="Skilled Manual"/>
    <s v="No"/>
    <x v="1"/>
    <x v="0"/>
    <x v="1"/>
    <n v="45"/>
    <x v="0"/>
    <x v="1"/>
    <n v="1"/>
    <x v="3"/>
  </r>
  <r>
    <n v="20870"/>
    <x v="1"/>
    <x v="0"/>
    <x v="4"/>
    <n v="2"/>
    <x v="2"/>
    <s v="Manual"/>
    <s v="Yes"/>
    <x v="1"/>
    <x v="0"/>
    <x v="0"/>
    <n v="38"/>
    <x v="0"/>
    <x v="1"/>
    <n v="1"/>
    <x v="0"/>
  </r>
  <r>
    <n v="23316"/>
    <x v="1"/>
    <x v="1"/>
    <x v="1"/>
    <n v="3"/>
    <x v="1"/>
    <s v="Clerical"/>
    <s v="No"/>
    <x v="2"/>
    <x v="3"/>
    <x v="1"/>
    <n v="59"/>
    <x v="1"/>
    <x v="1"/>
    <n v="1"/>
    <x v="0"/>
  </r>
  <r>
    <n v="12610"/>
    <x v="0"/>
    <x v="0"/>
    <x v="1"/>
    <n v="1"/>
    <x v="0"/>
    <s v="Clerical"/>
    <s v="Yes"/>
    <x v="0"/>
    <x v="0"/>
    <x v="0"/>
    <n v="47"/>
    <x v="0"/>
    <x v="0"/>
    <n v="0"/>
    <x v="0"/>
  </r>
  <r>
    <n v="27183"/>
    <x v="1"/>
    <x v="1"/>
    <x v="0"/>
    <n v="2"/>
    <x v="1"/>
    <s v="Clerical"/>
    <s v="Yes"/>
    <x v="1"/>
    <x v="3"/>
    <x v="0"/>
    <n v="35"/>
    <x v="0"/>
    <x v="1"/>
    <n v="1"/>
    <x v="0"/>
  </r>
  <r>
    <n v="25940"/>
    <x v="1"/>
    <x v="1"/>
    <x v="6"/>
    <n v="2"/>
    <x v="3"/>
    <s v="Clerical"/>
    <s v="Yes"/>
    <x v="2"/>
    <x v="2"/>
    <x v="1"/>
    <n v="55"/>
    <x v="0"/>
    <x v="1"/>
    <n v="1"/>
    <x v="0"/>
  </r>
  <r>
    <n v="25598"/>
    <x v="0"/>
    <x v="0"/>
    <x v="0"/>
    <n v="0"/>
    <x v="4"/>
    <s v="Clerical"/>
    <s v="Yes"/>
    <x v="0"/>
    <x v="0"/>
    <x v="0"/>
    <n v="36"/>
    <x v="0"/>
    <x v="1"/>
    <n v="1"/>
    <x v="0"/>
  </r>
  <r>
    <n v="21564"/>
    <x v="1"/>
    <x v="0"/>
    <x v="2"/>
    <n v="0"/>
    <x v="0"/>
    <s v="Professional"/>
    <s v="Yes"/>
    <x v="3"/>
    <x v="4"/>
    <x v="1"/>
    <n v="35"/>
    <x v="0"/>
    <x v="0"/>
    <n v="0"/>
    <x v="1"/>
  </r>
  <r>
    <n v="19193"/>
    <x v="1"/>
    <x v="1"/>
    <x v="0"/>
    <n v="2"/>
    <x v="1"/>
    <s v="Clerical"/>
    <s v="Yes"/>
    <x v="0"/>
    <x v="3"/>
    <x v="0"/>
    <n v="35"/>
    <x v="0"/>
    <x v="1"/>
    <n v="1"/>
    <x v="0"/>
  </r>
  <r>
    <n v="26412"/>
    <x v="0"/>
    <x v="0"/>
    <x v="2"/>
    <n v="5"/>
    <x v="2"/>
    <s v="Management"/>
    <s v="No"/>
    <x v="4"/>
    <x v="2"/>
    <x v="0"/>
    <n v="56"/>
    <x v="1"/>
    <x v="0"/>
    <n v="0"/>
    <x v="1"/>
  </r>
  <r>
    <n v="27184"/>
    <x v="1"/>
    <x v="1"/>
    <x v="0"/>
    <n v="2"/>
    <x v="1"/>
    <s v="Clerical"/>
    <s v="No"/>
    <x v="1"/>
    <x v="0"/>
    <x v="0"/>
    <n v="34"/>
    <x v="0"/>
    <x v="0"/>
    <n v="0"/>
    <x v="0"/>
  </r>
  <r>
    <n v="12590"/>
    <x v="1"/>
    <x v="1"/>
    <x v="1"/>
    <n v="1"/>
    <x v="0"/>
    <s v="Clerical"/>
    <s v="Yes"/>
    <x v="0"/>
    <x v="0"/>
    <x v="0"/>
    <n v="63"/>
    <x v="1"/>
    <x v="0"/>
    <n v="0"/>
    <x v="0"/>
  </r>
  <r>
    <n v="17841"/>
    <x v="1"/>
    <x v="1"/>
    <x v="1"/>
    <n v="0"/>
    <x v="1"/>
    <s v="Clerical"/>
    <s v="No"/>
    <x v="1"/>
    <x v="0"/>
    <x v="0"/>
    <n v="29"/>
    <x v="2"/>
    <x v="1"/>
    <n v="1"/>
    <x v="0"/>
  </r>
  <r>
    <n v="18283"/>
    <x v="1"/>
    <x v="0"/>
    <x v="11"/>
    <n v="0"/>
    <x v="0"/>
    <s v="Professional"/>
    <s v="No"/>
    <x v="1"/>
    <x v="2"/>
    <x v="1"/>
    <n v="40"/>
    <x v="0"/>
    <x v="0"/>
    <n v="0"/>
    <x v="2"/>
  </r>
  <r>
    <n v="18299"/>
    <x v="0"/>
    <x v="1"/>
    <x v="3"/>
    <n v="5"/>
    <x v="1"/>
    <s v="Skilled Manual"/>
    <s v="Yes"/>
    <x v="2"/>
    <x v="2"/>
    <x v="1"/>
    <n v="44"/>
    <x v="0"/>
    <x v="0"/>
    <n v="0"/>
    <x v="1"/>
  </r>
  <r>
    <n v="16466"/>
    <x v="1"/>
    <x v="0"/>
    <x v="6"/>
    <n v="0"/>
    <x v="3"/>
    <s v="Manual"/>
    <s v="No"/>
    <x v="2"/>
    <x v="0"/>
    <x v="0"/>
    <n v="32"/>
    <x v="0"/>
    <x v="1"/>
    <n v="1"/>
    <x v="0"/>
  </r>
  <r>
    <n v="19273"/>
    <x v="0"/>
    <x v="0"/>
    <x v="6"/>
    <n v="2"/>
    <x v="1"/>
    <s v="Manual"/>
    <s v="Yes"/>
    <x v="0"/>
    <x v="0"/>
    <x v="0"/>
    <n v="63"/>
    <x v="1"/>
    <x v="0"/>
    <n v="0"/>
    <x v="0"/>
  </r>
  <r>
    <n v="22400"/>
    <x v="0"/>
    <x v="1"/>
    <x v="4"/>
    <n v="0"/>
    <x v="1"/>
    <s v="Manual"/>
    <s v="No"/>
    <x v="1"/>
    <x v="0"/>
    <x v="1"/>
    <n v="26"/>
    <x v="2"/>
    <x v="1"/>
    <n v="1"/>
    <x v="0"/>
  </r>
  <r>
    <n v="20942"/>
    <x v="1"/>
    <x v="0"/>
    <x v="6"/>
    <n v="0"/>
    <x v="2"/>
    <s v="Manual"/>
    <s v="No"/>
    <x v="1"/>
    <x v="2"/>
    <x v="0"/>
    <n v="31"/>
    <x v="0"/>
    <x v="0"/>
    <n v="0"/>
    <x v="0"/>
  </r>
  <r>
    <n v="18484"/>
    <x v="1"/>
    <x v="1"/>
    <x v="2"/>
    <n v="2"/>
    <x v="2"/>
    <s v="Skilled Manual"/>
    <s v="No"/>
    <x v="2"/>
    <x v="3"/>
    <x v="1"/>
    <n v="50"/>
    <x v="0"/>
    <x v="1"/>
    <n v="1"/>
    <x v="1"/>
  </r>
  <r>
    <n v="12291"/>
    <x v="1"/>
    <x v="1"/>
    <x v="8"/>
    <n v="5"/>
    <x v="1"/>
    <s v="Professional"/>
    <s v="No"/>
    <x v="2"/>
    <x v="1"/>
    <x v="0"/>
    <n v="62"/>
    <x v="1"/>
    <x v="1"/>
    <n v="1"/>
    <x v="2"/>
  </r>
  <r>
    <n v="28380"/>
    <x v="1"/>
    <x v="0"/>
    <x v="4"/>
    <n v="5"/>
    <x v="3"/>
    <s v="Manual"/>
    <s v="No"/>
    <x v="2"/>
    <x v="0"/>
    <x v="0"/>
    <n v="41"/>
    <x v="0"/>
    <x v="0"/>
    <n v="0"/>
    <x v="0"/>
  </r>
  <r>
    <n v="17891"/>
    <x v="0"/>
    <x v="0"/>
    <x v="4"/>
    <n v="2"/>
    <x v="1"/>
    <s v="Manual"/>
    <s v="Yes"/>
    <x v="1"/>
    <x v="0"/>
    <x v="0"/>
    <n v="50"/>
    <x v="0"/>
    <x v="1"/>
    <n v="1"/>
    <x v="0"/>
  </r>
  <r>
    <n v="27832"/>
    <x v="1"/>
    <x v="0"/>
    <x v="1"/>
    <n v="0"/>
    <x v="1"/>
    <s v="Clerical"/>
    <s v="No"/>
    <x v="1"/>
    <x v="1"/>
    <x v="0"/>
    <n v="30"/>
    <x v="2"/>
    <x v="0"/>
    <n v="0"/>
    <x v="0"/>
  </r>
  <r>
    <n v="26863"/>
    <x v="1"/>
    <x v="1"/>
    <x v="6"/>
    <n v="0"/>
    <x v="2"/>
    <s v="Manual"/>
    <s v="No"/>
    <x v="1"/>
    <x v="1"/>
    <x v="0"/>
    <n v="28"/>
    <x v="2"/>
    <x v="0"/>
    <n v="0"/>
    <x v="0"/>
  </r>
  <r>
    <n v="16259"/>
    <x v="1"/>
    <x v="0"/>
    <x v="4"/>
    <n v="4"/>
    <x v="3"/>
    <s v="Manual"/>
    <s v="Yes"/>
    <x v="2"/>
    <x v="0"/>
    <x v="0"/>
    <n v="40"/>
    <x v="0"/>
    <x v="1"/>
    <n v="1"/>
    <x v="0"/>
  </r>
  <r>
    <n v="27803"/>
    <x v="1"/>
    <x v="0"/>
    <x v="1"/>
    <n v="2"/>
    <x v="1"/>
    <s v="Clerical"/>
    <s v="No"/>
    <x v="0"/>
    <x v="0"/>
    <x v="0"/>
    <n v="43"/>
    <x v="0"/>
    <x v="0"/>
    <n v="0"/>
    <x v="0"/>
  </r>
  <r>
    <n v="14347"/>
    <x v="1"/>
    <x v="0"/>
    <x v="0"/>
    <n v="2"/>
    <x v="0"/>
    <s v="Management"/>
    <s v="Yes"/>
    <x v="2"/>
    <x v="2"/>
    <x v="1"/>
    <n v="65"/>
    <x v="1"/>
    <x v="1"/>
    <n v="1"/>
    <x v="0"/>
  </r>
  <r>
    <n v="17703"/>
    <x v="0"/>
    <x v="0"/>
    <x v="4"/>
    <n v="1"/>
    <x v="4"/>
    <s v="Manual"/>
    <s v="Yes"/>
    <x v="0"/>
    <x v="0"/>
    <x v="0"/>
    <n v="40"/>
    <x v="0"/>
    <x v="0"/>
    <n v="0"/>
    <x v="0"/>
  </r>
  <r>
    <n v="17185"/>
    <x v="0"/>
    <x v="0"/>
    <x v="9"/>
    <n v="4"/>
    <x v="1"/>
    <s v="Professional"/>
    <s v="No"/>
    <x v="4"/>
    <x v="2"/>
    <x v="0"/>
    <n v="48"/>
    <x v="0"/>
    <x v="1"/>
    <n v="1"/>
    <x v="2"/>
  </r>
  <r>
    <n v="29380"/>
    <x v="0"/>
    <x v="0"/>
    <x v="6"/>
    <n v="3"/>
    <x v="2"/>
    <s v="Manual"/>
    <s v="Yes"/>
    <x v="0"/>
    <x v="0"/>
    <x v="0"/>
    <n v="41"/>
    <x v="0"/>
    <x v="1"/>
    <n v="1"/>
    <x v="0"/>
  </r>
  <r>
    <n v="23986"/>
    <x v="0"/>
    <x v="0"/>
    <x v="6"/>
    <n v="1"/>
    <x v="0"/>
    <s v="Clerical"/>
    <s v="Yes"/>
    <x v="0"/>
    <x v="0"/>
    <x v="0"/>
    <n v="66"/>
    <x v="1"/>
    <x v="1"/>
    <n v="1"/>
    <x v="0"/>
  </r>
  <r>
    <n v="24466"/>
    <x v="0"/>
    <x v="0"/>
    <x v="10"/>
    <n v="1"/>
    <x v="1"/>
    <s v="Skilled Manual"/>
    <s v="Yes"/>
    <x v="1"/>
    <x v="2"/>
    <x v="1"/>
    <n v="46"/>
    <x v="0"/>
    <x v="1"/>
    <n v="1"/>
    <x v="3"/>
  </r>
  <r>
    <n v="29097"/>
    <x v="1"/>
    <x v="0"/>
    <x v="0"/>
    <n v="2"/>
    <x v="1"/>
    <s v="Skilled Manual"/>
    <s v="Yes"/>
    <x v="2"/>
    <x v="2"/>
    <x v="1"/>
    <n v="52"/>
    <x v="0"/>
    <x v="1"/>
    <n v="1"/>
    <x v="0"/>
  </r>
  <r>
    <n v="19487"/>
    <x v="0"/>
    <x v="1"/>
    <x v="1"/>
    <n v="2"/>
    <x v="1"/>
    <s v="Clerical"/>
    <s v="No"/>
    <x v="2"/>
    <x v="0"/>
    <x v="0"/>
    <n v="42"/>
    <x v="0"/>
    <x v="0"/>
    <n v="0"/>
    <x v="0"/>
  </r>
  <r>
    <n v="14939"/>
    <x v="1"/>
    <x v="1"/>
    <x v="0"/>
    <n v="0"/>
    <x v="0"/>
    <s v="Clerical"/>
    <s v="Yes"/>
    <x v="0"/>
    <x v="0"/>
    <x v="0"/>
    <n v="39"/>
    <x v="0"/>
    <x v="1"/>
    <n v="1"/>
    <x v="0"/>
  </r>
  <r>
    <n v="13826"/>
    <x v="1"/>
    <x v="0"/>
    <x v="1"/>
    <n v="0"/>
    <x v="1"/>
    <s v="Clerical"/>
    <s v="No"/>
    <x v="1"/>
    <x v="0"/>
    <x v="0"/>
    <n v="28"/>
    <x v="2"/>
    <x v="0"/>
    <n v="0"/>
    <x v="0"/>
  </r>
  <r>
    <n v="20619"/>
    <x v="1"/>
    <x v="1"/>
    <x v="2"/>
    <n v="0"/>
    <x v="0"/>
    <s v="Professional"/>
    <s v="No"/>
    <x v="3"/>
    <x v="4"/>
    <x v="1"/>
    <n v="35"/>
    <x v="0"/>
    <x v="0"/>
    <n v="0"/>
    <x v="1"/>
  </r>
  <r>
    <n v="12558"/>
    <x v="0"/>
    <x v="0"/>
    <x v="6"/>
    <n v="1"/>
    <x v="0"/>
    <s v="Clerical"/>
    <s v="Yes"/>
    <x v="0"/>
    <x v="0"/>
    <x v="0"/>
    <n v="65"/>
    <x v="1"/>
    <x v="0"/>
    <n v="0"/>
    <x v="0"/>
  </r>
  <r>
    <n v="24871"/>
    <x v="1"/>
    <x v="0"/>
    <x v="8"/>
    <n v="4"/>
    <x v="2"/>
    <s v="Management"/>
    <s v="No"/>
    <x v="4"/>
    <x v="2"/>
    <x v="0"/>
    <n v="56"/>
    <x v="1"/>
    <x v="0"/>
    <n v="0"/>
    <x v="2"/>
  </r>
  <r>
    <n v="17319"/>
    <x v="1"/>
    <x v="0"/>
    <x v="3"/>
    <n v="0"/>
    <x v="0"/>
    <s v="Professional"/>
    <s v="No"/>
    <x v="1"/>
    <x v="2"/>
    <x v="1"/>
    <n v="42"/>
    <x v="0"/>
    <x v="0"/>
    <n v="0"/>
    <x v="1"/>
  </r>
  <r>
    <n v="28906"/>
    <x v="0"/>
    <x v="1"/>
    <x v="2"/>
    <n v="4"/>
    <x v="2"/>
    <s v="Professional"/>
    <s v="Yes"/>
    <x v="2"/>
    <x v="4"/>
    <x v="0"/>
    <n v="54"/>
    <x v="0"/>
    <x v="0"/>
    <n v="0"/>
    <x v="1"/>
  </r>
  <r>
    <n v="12808"/>
    <x v="0"/>
    <x v="1"/>
    <x v="0"/>
    <n v="0"/>
    <x v="0"/>
    <s v="Clerical"/>
    <s v="Yes"/>
    <x v="0"/>
    <x v="0"/>
    <x v="0"/>
    <n v="38"/>
    <x v="0"/>
    <x v="1"/>
    <n v="1"/>
    <x v="0"/>
  </r>
  <r>
    <n v="20567"/>
    <x v="0"/>
    <x v="1"/>
    <x v="12"/>
    <n v="4"/>
    <x v="1"/>
    <s v="Professional"/>
    <s v="No"/>
    <x v="3"/>
    <x v="2"/>
    <x v="0"/>
    <n v="61"/>
    <x v="1"/>
    <x v="1"/>
    <n v="1"/>
    <x v="2"/>
  </r>
  <r>
    <n v="25502"/>
    <x v="0"/>
    <x v="0"/>
    <x v="0"/>
    <n v="1"/>
    <x v="0"/>
    <s v="Skilled Manual"/>
    <s v="Yes"/>
    <x v="0"/>
    <x v="0"/>
    <x v="0"/>
    <n v="43"/>
    <x v="0"/>
    <x v="1"/>
    <n v="1"/>
    <x v="0"/>
  </r>
  <r>
    <n v="15580"/>
    <x v="0"/>
    <x v="1"/>
    <x v="10"/>
    <n v="2"/>
    <x v="0"/>
    <s v="Professional"/>
    <s v="Yes"/>
    <x v="1"/>
    <x v="1"/>
    <x v="1"/>
    <n v="38"/>
    <x v="0"/>
    <x v="1"/>
    <n v="1"/>
    <x v="3"/>
  </r>
  <r>
    <n v="24185"/>
    <x v="1"/>
    <x v="0"/>
    <x v="4"/>
    <n v="1"/>
    <x v="2"/>
    <s v="Manual"/>
    <s v="No"/>
    <x v="1"/>
    <x v="3"/>
    <x v="0"/>
    <n v="45"/>
    <x v="0"/>
    <x v="0"/>
    <n v="0"/>
    <x v="0"/>
  </r>
  <r>
    <n v="19291"/>
    <x v="1"/>
    <x v="0"/>
    <x v="4"/>
    <n v="2"/>
    <x v="2"/>
    <s v="Manual"/>
    <s v="Yes"/>
    <x v="0"/>
    <x v="0"/>
    <x v="0"/>
    <n v="35"/>
    <x v="0"/>
    <x v="0"/>
    <n v="0"/>
    <x v="0"/>
  </r>
  <r>
    <n v="16713"/>
    <x v="0"/>
    <x v="1"/>
    <x v="0"/>
    <n v="2"/>
    <x v="0"/>
    <s v="Management"/>
    <s v="Yes"/>
    <x v="1"/>
    <x v="0"/>
    <x v="1"/>
    <n v="52"/>
    <x v="0"/>
    <x v="1"/>
    <n v="1"/>
    <x v="0"/>
  </r>
  <r>
    <n v="16185"/>
    <x v="1"/>
    <x v="1"/>
    <x v="10"/>
    <n v="4"/>
    <x v="0"/>
    <s v="Professional"/>
    <s v="Yes"/>
    <x v="4"/>
    <x v="4"/>
    <x v="1"/>
    <n v="41"/>
    <x v="0"/>
    <x v="0"/>
    <n v="0"/>
    <x v="3"/>
  </r>
  <r>
    <n v="14927"/>
    <x v="0"/>
    <x v="0"/>
    <x v="1"/>
    <n v="1"/>
    <x v="0"/>
    <s v="Clerical"/>
    <s v="Yes"/>
    <x v="0"/>
    <x v="0"/>
    <x v="0"/>
    <n v="37"/>
    <x v="0"/>
    <x v="1"/>
    <n v="1"/>
    <x v="0"/>
  </r>
  <r>
    <n v="29337"/>
    <x v="1"/>
    <x v="1"/>
    <x v="1"/>
    <n v="2"/>
    <x v="1"/>
    <s v="Clerical"/>
    <s v="Yes"/>
    <x v="2"/>
    <x v="2"/>
    <x v="1"/>
    <n v="68"/>
    <x v="1"/>
    <x v="0"/>
    <n v="0"/>
    <x v="0"/>
  </r>
  <r>
    <n v="29355"/>
    <x v="0"/>
    <x v="0"/>
    <x v="0"/>
    <n v="0"/>
    <x v="4"/>
    <s v="Clerical"/>
    <s v="Yes"/>
    <x v="0"/>
    <x v="0"/>
    <x v="0"/>
    <n v="37"/>
    <x v="0"/>
    <x v="1"/>
    <n v="1"/>
    <x v="0"/>
  </r>
  <r>
    <n v="25303"/>
    <x v="1"/>
    <x v="1"/>
    <x v="1"/>
    <n v="0"/>
    <x v="2"/>
    <s v="Manual"/>
    <s v="Yes"/>
    <x v="1"/>
    <x v="1"/>
    <x v="0"/>
    <n v="33"/>
    <x v="0"/>
    <x v="1"/>
    <n v="1"/>
    <x v="0"/>
  </r>
  <r>
    <n v="14813"/>
    <x v="1"/>
    <x v="0"/>
    <x v="6"/>
    <n v="4"/>
    <x v="2"/>
    <s v="Manual"/>
    <s v="Yes"/>
    <x v="1"/>
    <x v="0"/>
    <x v="0"/>
    <n v="43"/>
    <x v="0"/>
    <x v="1"/>
    <n v="1"/>
    <x v="0"/>
  </r>
  <r>
    <n v="16438"/>
    <x v="0"/>
    <x v="0"/>
    <x v="4"/>
    <n v="0"/>
    <x v="3"/>
    <s v="Manual"/>
    <s v="No"/>
    <x v="2"/>
    <x v="0"/>
    <x v="0"/>
    <n v="30"/>
    <x v="2"/>
    <x v="0"/>
    <n v="0"/>
    <x v="0"/>
  </r>
  <r>
    <n v="14238"/>
    <x v="0"/>
    <x v="1"/>
    <x v="7"/>
    <n v="0"/>
    <x v="3"/>
    <s v="Professional"/>
    <s v="Yes"/>
    <x v="3"/>
    <x v="4"/>
    <x v="1"/>
    <n v="36"/>
    <x v="0"/>
    <x v="1"/>
    <n v="1"/>
    <x v="2"/>
  </r>
  <r>
    <n v="16200"/>
    <x v="1"/>
    <x v="0"/>
    <x v="4"/>
    <n v="0"/>
    <x v="3"/>
    <s v="Manual"/>
    <s v="No"/>
    <x v="2"/>
    <x v="0"/>
    <x v="0"/>
    <n v="35"/>
    <x v="0"/>
    <x v="0"/>
    <n v="0"/>
    <x v="0"/>
  </r>
  <r>
    <n v="24857"/>
    <x v="0"/>
    <x v="0"/>
    <x v="12"/>
    <n v="3"/>
    <x v="2"/>
    <s v="Professional"/>
    <s v="Yes"/>
    <x v="3"/>
    <x v="0"/>
    <x v="0"/>
    <n v="52"/>
    <x v="0"/>
    <x v="0"/>
    <n v="0"/>
    <x v="2"/>
  </r>
  <r>
    <n v="26956"/>
    <x v="1"/>
    <x v="0"/>
    <x v="6"/>
    <n v="0"/>
    <x v="1"/>
    <s v="Manual"/>
    <s v="No"/>
    <x v="1"/>
    <x v="1"/>
    <x v="0"/>
    <n v="36"/>
    <x v="0"/>
    <x v="1"/>
    <n v="1"/>
    <x v="0"/>
  </r>
  <r>
    <n v="14517"/>
    <x v="0"/>
    <x v="0"/>
    <x v="6"/>
    <n v="3"/>
    <x v="2"/>
    <s v="Skilled Manual"/>
    <s v="No"/>
    <x v="2"/>
    <x v="3"/>
    <x v="1"/>
    <n v="62"/>
    <x v="1"/>
    <x v="0"/>
    <n v="0"/>
    <x v="0"/>
  </r>
  <r>
    <n v="12678"/>
    <x v="1"/>
    <x v="0"/>
    <x v="12"/>
    <n v="4"/>
    <x v="2"/>
    <s v="Management"/>
    <s v="Yes"/>
    <x v="3"/>
    <x v="0"/>
    <x v="1"/>
    <n v="31"/>
    <x v="0"/>
    <x v="0"/>
    <n v="0"/>
    <x v="2"/>
  </r>
  <r>
    <n v="16188"/>
    <x v="1"/>
    <x v="0"/>
    <x v="6"/>
    <n v="0"/>
    <x v="3"/>
    <s v="Manual"/>
    <s v="No"/>
    <x v="2"/>
    <x v="3"/>
    <x v="0"/>
    <n v="26"/>
    <x v="2"/>
    <x v="0"/>
    <n v="0"/>
    <x v="0"/>
  </r>
  <r>
    <n v="27969"/>
    <x v="0"/>
    <x v="1"/>
    <x v="2"/>
    <n v="0"/>
    <x v="0"/>
    <s v="Professional"/>
    <s v="Yes"/>
    <x v="2"/>
    <x v="4"/>
    <x v="1"/>
    <n v="29"/>
    <x v="2"/>
    <x v="1"/>
    <n v="1"/>
    <x v="1"/>
  </r>
  <r>
    <n v="15752"/>
    <x v="0"/>
    <x v="1"/>
    <x v="2"/>
    <n v="2"/>
    <x v="2"/>
    <s v="Skilled Manual"/>
    <s v="No"/>
    <x v="2"/>
    <x v="3"/>
    <x v="1"/>
    <n v="50"/>
    <x v="0"/>
    <x v="1"/>
    <n v="1"/>
    <x v="1"/>
  </r>
  <r>
    <n v="27745"/>
    <x v="1"/>
    <x v="1"/>
    <x v="0"/>
    <n v="2"/>
    <x v="0"/>
    <s v="Management"/>
    <s v="Yes"/>
    <x v="2"/>
    <x v="2"/>
    <x v="1"/>
    <n v="63"/>
    <x v="1"/>
    <x v="1"/>
    <n v="1"/>
    <x v="0"/>
  </r>
  <r>
    <n v="20828"/>
    <x v="0"/>
    <x v="0"/>
    <x v="1"/>
    <n v="4"/>
    <x v="4"/>
    <s v="Clerical"/>
    <s v="Yes"/>
    <x v="0"/>
    <x v="0"/>
    <x v="0"/>
    <n v="45"/>
    <x v="0"/>
    <x v="1"/>
    <n v="1"/>
    <x v="0"/>
  </r>
  <r>
    <n v="19461"/>
    <x v="1"/>
    <x v="0"/>
    <x v="4"/>
    <n v="4"/>
    <x v="3"/>
    <s v="Manual"/>
    <s v="Yes"/>
    <x v="2"/>
    <x v="0"/>
    <x v="0"/>
    <n v="40"/>
    <x v="0"/>
    <x v="0"/>
    <n v="0"/>
    <x v="0"/>
  </r>
  <r>
    <n v="26941"/>
    <x v="0"/>
    <x v="1"/>
    <x v="1"/>
    <n v="0"/>
    <x v="0"/>
    <s v="Clerical"/>
    <s v="Yes"/>
    <x v="0"/>
    <x v="0"/>
    <x v="0"/>
    <n v="47"/>
    <x v="0"/>
    <x v="1"/>
    <n v="1"/>
    <x v="0"/>
  </r>
  <r>
    <n v="28412"/>
    <x v="1"/>
    <x v="1"/>
    <x v="6"/>
    <n v="0"/>
    <x v="2"/>
    <s v="Manual"/>
    <s v="No"/>
    <x v="1"/>
    <x v="1"/>
    <x v="0"/>
    <n v="29"/>
    <x v="2"/>
    <x v="0"/>
    <n v="0"/>
    <x v="0"/>
  </r>
  <r>
    <n v="24485"/>
    <x v="1"/>
    <x v="1"/>
    <x v="0"/>
    <n v="2"/>
    <x v="0"/>
    <s v="Management"/>
    <s v="No"/>
    <x v="1"/>
    <x v="2"/>
    <x v="1"/>
    <n v="52"/>
    <x v="0"/>
    <x v="1"/>
    <n v="1"/>
    <x v="0"/>
  </r>
  <r>
    <n v="16514"/>
    <x v="1"/>
    <x v="1"/>
    <x v="4"/>
    <n v="0"/>
    <x v="1"/>
    <s v="Manual"/>
    <s v="Yes"/>
    <x v="1"/>
    <x v="3"/>
    <x v="1"/>
    <n v="26"/>
    <x v="2"/>
    <x v="1"/>
    <n v="1"/>
    <x v="0"/>
  </r>
  <r>
    <n v="17191"/>
    <x v="1"/>
    <x v="1"/>
    <x v="12"/>
    <n v="3"/>
    <x v="1"/>
    <s v="Professional"/>
    <s v="No"/>
    <x v="4"/>
    <x v="0"/>
    <x v="0"/>
    <n v="51"/>
    <x v="0"/>
    <x v="1"/>
    <n v="1"/>
    <x v="2"/>
  </r>
  <r>
    <n v="19608"/>
    <x v="0"/>
    <x v="1"/>
    <x v="2"/>
    <n v="5"/>
    <x v="0"/>
    <s v="Professional"/>
    <s v="Yes"/>
    <x v="3"/>
    <x v="3"/>
    <x v="1"/>
    <n v="40"/>
    <x v="0"/>
    <x v="0"/>
    <n v="0"/>
    <x v="1"/>
  </r>
  <r>
    <n v="24119"/>
    <x v="1"/>
    <x v="1"/>
    <x v="1"/>
    <n v="0"/>
    <x v="1"/>
    <s v="Clerical"/>
    <s v="No"/>
    <x v="1"/>
    <x v="1"/>
    <x v="0"/>
    <n v="29"/>
    <x v="2"/>
    <x v="0"/>
    <n v="0"/>
    <x v="0"/>
  </r>
  <r>
    <n v="25458"/>
    <x v="0"/>
    <x v="1"/>
    <x v="6"/>
    <n v="1"/>
    <x v="2"/>
    <s v="Manual"/>
    <s v="No"/>
    <x v="1"/>
    <x v="3"/>
    <x v="0"/>
    <n v="40"/>
    <x v="0"/>
    <x v="1"/>
    <n v="1"/>
    <x v="0"/>
  </r>
  <r>
    <n v="26886"/>
    <x v="1"/>
    <x v="0"/>
    <x v="1"/>
    <n v="0"/>
    <x v="1"/>
    <s v="Clerical"/>
    <s v="No"/>
    <x v="1"/>
    <x v="0"/>
    <x v="0"/>
    <n v="29"/>
    <x v="2"/>
    <x v="1"/>
    <n v="1"/>
    <x v="0"/>
  </r>
  <r>
    <n v="28436"/>
    <x v="1"/>
    <x v="1"/>
    <x v="1"/>
    <n v="0"/>
    <x v="1"/>
    <s v="Clerical"/>
    <s v="No"/>
    <x v="1"/>
    <x v="0"/>
    <x v="0"/>
    <n v="30"/>
    <x v="2"/>
    <x v="1"/>
    <n v="1"/>
    <x v="0"/>
  </r>
  <r>
    <n v="19562"/>
    <x v="1"/>
    <x v="0"/>
    <x v="10"/>
    <n v="2"/>
    <x v="0"/>
    <s v="Professional"/>
    <s v="Yes"/>
    <x v="1"/>
    <x v="1"/>
    <x v="1"/>
    <n v="37"/>
    <x v="0"/>
    <x v="1"/>
    <n v="1"/>
    <x v="3"/>
  </r>
  <r>
    <n v="15608"/>
    <x v="1"/>
    <x v="0"/>
    <x v="1"/>
    <n v="0"/>
    <x v="1"/>
    <s v="Clerical"/>
    <s v="No"/>
    <x v="1"/>
    <x v="1"/>
    <x v="0"/>
    <n v="33"/>
    <x v="0"/>
    <x v="0"/>
    <n v="0"/>
    <x v="0"/>
  </r>
  <r>
    <n v="16487"/>
    <x v="1"/>
    <x v="0"/>
    <x v="1"/>
    <n v="3"/>
    <x v="2"/>
    <s v="Skilled Manual"/>
    <s v="Yes"/>
    <x v="2"/>
    <x v="2"/>
    <x v="1"/>
    <n v="55"/>
    <x v="0"/>
    <x v="0"/>
    <n v="0"/>
    <x v="0"/>
  </r>
  <r>
    <n v="17197"/>
    <x v="1"/>
    <x v="0"/>
    <x v="8"/>
    <n v="5"/>
    <x v="1"/>
    <s v="Professional"/>
    <s v="Yes"/>
    <x v="2"/>
    <x v="4"/>
    <x v="0"/>
    <n v="62"/>
    <x v="1"/>
    <x v="0"/>
    <n v="0"/>
    <x v="2"/>
  </r>
  <r>
    <n v="12507"/>
    <x v="0"/>
    <x v="1"/>
    <x v="1"/>
    <n v="1"/>
    <x v="1"/>
    <s v="Clerical"/>
    <s v="Yes"/>
    <x v="1"/>
    <x v="0"/>
    <x v="0"/>
    <n v="43"/>
    <x v="0"/>
    <x v="0"/>
    <n v="0"/>
    <x v="0"/>
  </r>
  <r>
    <n v="23940"/>
    <x v="0"/>
    <x v="1"/>
    <x v="0"/>
    <n v="1"/>
    <x v="0"/>
    <s v="Skilled Manual"/>
    <s v="Yes"/>
    <x v="1"/>
    <x v="0"/>
    <x v="0"/>
    <n v="44"/>
    <x v="0"/>
    <x v="1"/>
    <n v="1"/>
    <x v="0"/>
  </r>
  <r>
    <n v="19441"/>
    <x v="0"/>
    <x v="1"/>
    <x v="0"/>
    <n v="0"/>
    <x v="4"/>
    <s v="Clerical"/>
    <s v="Yes"/>
    <x v="0"/>
    <x v="0"/>
    <x v="0"/>
    <n v="25"/>
    <x v="2"/>
    <x v="1"/>
    <n v="1"/>
    <x v="0"/>
  </r>
  <r>
    <n v="26852"/>
    <x v="0"/>
    <x v="0"/>
    <x v="6"/>
    <n v="3"/>
    <x v="2"/>
    <s v="Manual"/>
    <s v="Yes"/>
    <x v="2"/>
    <x v="0"/>
    <x v="0"/>
    <n v="43"/>
    <x v="0"/>
    <x v="0"/>
    <n v="0"/>
    <x v="0"/>
  </r>
  <r>
    <n v="12274"/>
    <x v="1"/>
    <x v="1"/>
    <x v="4"/>
    <n v="2"/>
    <x v="2"/>
    <s v="Manual"/>
    <s v="Yes"/>
    <x v="0"/>
    <x v="0"/>
    <x v="0"/>
    <n v="35"/>
    <x v="0"/>
    <x v="0"/>
    <n v="0"/>
    <x v="0"/>
  </r>
  <r>
    <n v="20236"/>
    <x v="1"/>
    <x v="1"/>
    <x v="10"/>
    <n v="3"/>
    <x v="0"/>
    <s v="Professional"/>
    <s v="No"/>
    <x v="2"/>
    <x v="0"/>
    <x v="1"/>
    <n v="43"/>
    <x v="0"/>
    <x v="1"/>
    <n v="1"/>
    <x v="3"/>
  </r>
  <r>
    <n v="24149"/>
    <x v="0"/>
    <x v="1"/>
    <x v="4"/>
    <n v="2"/>
    <x v="1"/>
    <s v="Manual"/>
    <s v="Yes"/>
    <x v="0"/>
    <x v="3"/>
    <x v="0"/>
    <n v="49"/>
    <x v="0"/>
    <x v="0"/>
    <n v="0"/>
    <x v="0"/>
  </r>
  <r>
    <n v="26139"/>
    <x v="1"/>
    <x v="1"/>
    <x v="10"/>
    <n v="1"/>
    <x v="1"/>
    <s v="Skilled Manual"/>
    <s v="Yes"/>
    <x v="1"/>
    <x v="2"/>
    <x v="1"/>
    <n v="45"/>
    <x v="0"/>
    <x v="0"/>
    <n v="0"/>
    <x v="3"/>
  </r>
  <r>
    <n v="18491"/>
    <x v="1"/>
    <x v="0"/>
    <x v="3"/>
    <n v="2"/>
    <x v="2"/>
    <s v="Professional"/>
    <s v="Yes"/>
    <x v="2"/>
    <x v="2"/>
    <x v="1"/>
    <n v="49"/>
    <x v="0"/>
    <x v="1"/>
    <n v="1"/>
    <x v="1"/>
  </r>
  <r>
    <n v="22707"/>
    <x v="1"/>
    <x v="0"/>
    <x v="1"/>
    <n v="0"/>
    <x v="1"/>
    <s v="Clerical"/>
    <s v="No"/>
    <x v="1"/>
    <x v="1"/>
    <x v="0"/>
    <n v="30"/>
    <x v="2"/>
    <x v="0"/>
    <n v="0"/>
    <x v="0"/>
  </r>
  <r>
    <n v="20430"/>
    <x v="0"/>
    <x v="1"/>
    <x v="3"/>
    <n v="2"/>
    <x v="1"/>
    <s v="Skilled Manual"/>
    <s v="Yes"/>
    <x v="2"/>
    <x v="2"/>
    <x v="1"/>
    <n v="52"/>
    <x v="0"/>
    <x v="1"/>
    <n v="1"/>
    <x v="1"/>
  </r>
  <r>
    <n v="27494"/>
    <x v="1"/>
    <x v="0"/>
    <x v="0"/>
    <n v="2"/>
    <x v="1"/>
    <s v="Skilled Manual"/>
    <s v="No"/>
    <x v="2"/>
    <x v="3"/>
    <x v="1"/>
    <n v="53"/>
    <x v="0"/>
    <x v="1"/>
    <n v="1"/>
    <x v="0"/>
  </r>
  <r>
    <n v="26829"/>
    <x v="0"/>
    <x v="0"/>
    <x v="0"/>
    <n v="0"/>
    <x v="0"/>
    <s v="Clerical"/>
    <s v="Yes"/>
    <x v="0"/>
    <x v="0"/>
    <x v="0"/>
    <n v="38"/>
    <x v="0"/>
    <x v="1"/>
    <n v="1"/>
    <x v="0"/>
  </r>
  <r>
    <n v="28395"/>
    <x v="1"/>
    <x v="1"/>
    <x v="0"/>
    <n v="0"/>
    <x v="0"/>
    <s v="Professional"/>
    <s v="No"/>
    <x v="0"/>
    <x v="0"/>
    <x v="0"/>
    <n v="39"/>
    <x v="0"/>
    <x v="1"/>
    <n v="1"/>
    <x v="0"/>
  </r>
  <r>
    <n v="21006"/>
    <x v="1"/>
    <x v="0"/>
    <x v="1"/>
    <n v="1"/>
    <x v="1"/>
    <s v="Manual"/>
    <s v="No"/>
    <x v="0"/>
    <x v="0"/>
    <x v="0"/>
    <n v="46"/>
    <x v="0"/>
    <x v="1"/>
    <n v="1"/>
    <x v="0"/>
  </r>
  <r>
    <n v="14682"/>
    <x v="1"/>
    <x v="0"/>
    <x v="3"/>
    <n v="0"/>
    <x v="0"/>
    <s v="Professional"/>
    <s v="No"/>
    <x v="1"/>
    <x v="2"/>
    <x v="1"/>
    <n v="38"/>
    <x v="0"/>
    <x v="0"/>
    <n v="0"/>
    <x v="1"/>
  </r>
  <r>
    <n v="17650"/>
    <x v="1"/>
    <x v="0"/>
    <x v="0"/>
    <n v="2"/>
    <x v="1"/>
    <s v="Clerical"/>
    <s v="Yes"/>
    <x v="2"/>
    <x v="3"/>
    <x v="0"/>
    <n v="35"/>
    <x v="0"/>
    <x v="0"/>
    <n v="0"/>
    <x v="0"/>
  </r>
  <r>
    <n v="29191"/>
    <x v="1"/>
    <x v="0"/>
    <x v="12"/>
    <n v="1"/>
    <x v="4"/>
    <s v="Management"/>
    <s v="No"/>
    <x v="1"/>
    <x v="0"/>
    <x v="1"/>
    <n v="36"/>
    <x v="0"/>
    <x v="1"/>
    <n v="1"/>
    <x v="2"/>
  </r>
  <r>
    <n v="15030"/>
    <x v="0"/>
    <x v="1"/>
    <x v="6"/>
    <n v="0"/>
    <x v="0"/>
    <s v="Clerical"/>
    <s v="Yes"/>
    <x v="0"/>
    <x v="0"/>
    <x v="1"/>
    <n v="26"/>
    <x v="2"/>
    <x v="1"/>
    <n v="1"/>
    <x v="0"/>
  </r>
  <r>
    <n v="24140"/>
    <x v="1"/>
    <x v="1"/>
    <x v="4"/>
    <n v="0"/>
    <x v="4"/>
    <s v="Manual"/>
    <s v="No"/>
    <x v="0"/>
    <x v="0"/>
    <x v="0"/>
    <n v="30"/>
    <x v="2"/>
    <x v="1"/>
    <n v="1"/>
    <x v="0"/>
  </r>
  <r>
    <n v="22496"/>
    <x v="0"/>
    <x v="0"/>
    <x v="1"/>
    <n v="1"/>
    <x v="0"/>
    <s v="Skilled Manual"/>
    <s v="Yes"/>
    <x v="2"/>
    <x v="0"/>
    <x v="0"/>
    <n v="42"/>
    <x v="0"/>
    <x v="0"/>
    <n v="0"/>
    <x v="0"/>
  </r>
  <r>
    <n v="24065"/>
    <x v="1"/>
    <x v="0"/>
    <x v="6"/>
    <n v="0"/>
    <x v="2"/>
    <s v="Manual"/>
    <s v="Yes"/>
    <x v="0"/>
    <x v="0"/>
    <x v="0"/>
    <n v="40"/>
    <x v="0"/>
    <x v="1"/>
    <n v="1"/>
    <x v="0"/>
  </r>
  <r>
    <n v="19914"/>
    <x v="0"/>
    <x v="1"/>
    <x v="2"/>
    <n v="5"/>
    <x v="0"/>
    <s v="Management"/>
    <s v="Yes"/>
    <x v="2"/>
    <x v="1"/>
    <x v="0"/>
    <n v="62"/>
    <x v="1"/>
    <x v="0"/>
    <n v="0"/>
    <x v="1"/>
  </r>
  <r>
    <n v="12871"/>
    <x v="1"/>
    <x v="0"/>
    <x v="1"/>
    <n v="0"/>
    <x v="1"/>
    <s v="Clerical"/>
    <s v="No"/>
    <x v="1"/>
    <x v="1"/>
    <x v="0"/>
    <n v="29"/>
    <x v="2"/>
    <x v="0"/>
    <n v="0"/>
    <x v="0"/>
  </r>
  <r>
    <n v="22988"/>
    <x v="0"/>
    <x v="0"/>
    <x v="0"/>
    <n v="2"/>
    <x v="0"/>
    <s v="Management"/>
    <s v="Yes"/>
    <x v="2"/>
    <x v="2"/>
    <x v="1"/>
    <n v="66"/>
    <x v="1"/>
    <x v="1"/>
    <n v="1"/>
    <x v="0"/>
  </r>
  <r>
    <n v="15922"/>
    <x v="0"/>
    <x v="1"/>
    <x v="13"/>
    <n v="2"/>
    <x v="2"/>
    <s v="Professional"/>
    <s v="Yes"/>
    <x v="3"/>
    <x v="0"/>
    <x v="0"/>
    <n v="48"/>
    <x v="0"/>
    <x v="0"/>
    <n v="0"/>
    <x v="2"/>
  </r>
  <r>
    <n v="12344"/>
    <x v="1"/>
    <x v="0"/>
    <x v="2"/>
    <n v="0"/>
    <x v="0"/>
    <s v="Professional"/>
    <s v="No"/>
    <x v="4"/>
    <x v="4"/>
    <x v="1"/>
    <n v="31"/>
    <x v="0"/>
    <x v="0"/>
    <n v="0"/>
    <x v="1"/>
  </r>
  <r>
    <n v="23627"/>
    <x v="1"/>
    <x v="0"/>
    <x v="11"/>
    <n v="3"/>
    <x v="1"/>
    <s v="Management"/>
    <s v="No"/>
    <x v="3"/>
    <x v="2"/>
    <x v="0"/>
    <n v="56"/>
    <x v="1"/>
    <x v="0"/>
    <n v="0"/>
    <x v="2"/>
  </r>
  <r>
    <n v="27775"/>
    <x v="1"/>
    <x v="0"/>
    <x v="0"/>
    <n v="0"/>
    <x v="0"/>
    <s v="Clerical"/>
    <s v="No"/>
    <x v="0"/>
    <x v="0"/>
    <x v="0"/>
    <n v="38"/>
    <x v="0"/>
    <x v="1"/>
    <n v="1"/>
    <x v="0"/>
  </r>
  <r>
    <n v="29301"/>
    <x v="0"/>
    <x v="1"/>
    <x v="2"/>
    <n v="5"/>
    <x v="0"/>
    <s v="Professional"/>
    <s v="Yes"/>
    <x v="3"/>
    <x v="3"/>
    <x v="1"/>
    <n v="40"/>
    <x v="0"/>
    <x v="0"/>
    <n v="0"/>
    <x v="1"/>
  </r>
  <r>
    <n v="12716"/>
    <x v="1"/>
    <x v="1"/>
    <x v="1"/>
    <n v="0"/>
    <x v="1"/>
    <s v="Clerical"/>
    <s v="Yes"/>
    <x v="1"/>
    <x v="1"/>
    <x v="0"/>
    <n v="32"/>
    <x v="0"/>
    <x v="0"/>
    <n v="0"/>
    <x v="0"/>
  </r>
  <r>
    <n v="12472"/>
    <x v="0"/>
    <x v="1"/>
    <x v="1"/>
    <n v="1"/>
    <x v="0"/>
    <s v="Clerical"/>
    <s v="Yes"/>
    <x v="1"/>
    <x v="1"/>
    <x v="0"/>
    <n v="39"/>
    <x v="0"/>
    <x v="0"/>
    <n v="0"/>
    <x v="0"/>
  </r>
  <r>
    <n v="20970"/>
    <x v="1"/>
    <x v="1"/>
    <x v="4"/>
    <n v="2"/>
    <x v="1"/>
    <s v="Manual"/>
    <s v="Yes"/>
    <x v="1"/>
    <x v="0"/>
    <x v="0"/>
    <n v="52"/>
    <x v="0"/>
    <x v="1"/>
    <n v="1"/>
    <x v="0"/>
  </r>
  <r>
    <n v="26818"/>
    <x v="1"/>
    <x v="1"/>
    <x v="4"/>
    <n v="3"/>
    <x v="2"/>
    <s v="Manual"/>
    <s v="Yes"/>
    <x v="1"/>
    <x v="0"/>
    <x v="0"/>
    <n v="39"/>
    <x v="0"/>
    <x v="1"/>
    <n v="1"/>
    <x v="0"/>
  </r>
  <r>
    <n v="12993"/>
    <x v="0"/>
    <x v="1"/>
    <x v="10"/>
    <n v="2"/>
    <x v="0"/>
    <s v="Professional"/>
    <s v="Yes"/>
    <x v="1"/>
    <x v="1"/>
    <x v="1"/>
    <n v="37"/>
    <x v="0"/>
    <x v="0"/>
    <n v="0"/>
    <x v="3"/>
  </r>
  <r>
    <n v="14192"/>
    <x v="0"/>
    <x v="1"/>
    <x v="8"/>
    <n v="4"/>
    <x v="2"/>
    <s v="Management"/>
    <s v="Yes"/>
    <x v="4"/>
    <x v="2"/>
    <x v="0"/>
    <n v="56"/>
    <x v="1"/>
    <x v="1"/>
    <n v="1"/>
    <x v="2"/>
  </r>
  <r>
    <n v="19477"/>
    <x v="0"/>
    <x v="1"/>
    <x v="0"/>
    <n v="0"/>
    <x v="0"/>
    <s v="Professional"/>
    <s v="Yes"/>
    <x v="0"/>
    <x v="0"/>
    <x v="0"/>
    <n v="40"/>
    <x v="0"/>
    <x v="1"/>
    <n v="1"/>
    <x v="0"/>
  </r>
  <r>
    <n v="26796"/>
    <x v="1"/>
    <x v="1"/>
    <x v="0"/>
    <n v="2"/>
    <x v="0"/>
    <s v="Management"/>
    <s v="Yes"/>
    <x v="2"/>
    <x v="2"/>
    <x v="1"/>
    <n v="65"/>
    <x v="1"/>
    <x v="1"/>
    <n v="1"/>
    <x v="0"/>
  </r>
  <r>
    <n v="21094"/>
    <x v="1"/>
    <x v="0"/>
    <x v="1"/>
    <n v="2"/>
    <x v="1"/>
    <s v="Clerical"/>
    <s v="Yes"/>
    <x v="2"/>
    <x v="0"/>
    <x v="0"/>
    <n v="42"/>
    <x v="0"/>
    <x v="0"/>
    <n v="0"/>
    <x v="0"/>
  </r>
  <r>
    <n v="12234"/>
    <x v="0"/>
    <x v="1"/>
    <x v="4"/>
    <n v="2"/>
    <x v="1"/>
    <s v="Manual"/>
    <s v="Yes"/>
    <x v="1"/>
    <x v="1"/>
    <x v="0"/>
    <n v="52"/>
    <x v="0"/>
    <x v="0"/>
    <n v="0"/>
    <x v="0"/>
  </r>
  <r>
    <n v="28683"/>
    <x v="1"/>
    <x v="0"/>
    <x v="4"/>
    <n v="1"/>
    <x v="2"/>
    <s v="Manual"/>
    <s v="No"/>
    <x v="1"/>
    <x v="2"/>
    <x v="0"/>
    <n v="35"/>
    <x v="0"/>
    <x v="1"/>
    <n v="1"/>
    <x v="0"/>
  </r>
  <r>
    <n v="17994"/>
    <x v="1"/>
    <x v="1"/>
    <x v="6"/>
    <n v="2"/>
    <x v="2"/>
    <s v="Manual"/>
    <s v="Yes"/>
    <x v="2"/>
    <x v="0"/>
    <x v="0"/>
    <n v="42"/>
    <x v="0"/>
    <x v="0"/>
    <n v="0"/>
    <x v="0"/>
  </r>
  <r>
    <n v="24273"/>
    <x v="0"/>
    <x v="0"/>
    <x v="6"/>
    <n v="2"/>
    <x v="3"/>
    <s v="Clerical"/>
    <s v="Yes"/>
    <x v="2"/>
    <x v="2"/>
    <x v="1"/>
    <n v="55"/>
    <x v="0"/>
    <x v="1"/>
    <n v="1"/>
    <x v="0"/>
  </r>
  <r>
    <n v="26547"/>
    <x v="1"/>
    <x v="0"/>
    <x v="1"/>
    <n v="2"/>
    <x v="1"/>
    <s v="Clerical"/>
    <s v="No"/>
    <x v="2"/>
    <x v="2"/>
    <x v="1"/>
    <n v="60"/>
    <x v="1"/>
    <x v="1"/>
    <n v="1"/>
    <x v="0"/>
  </r>
  <r>
    <n v="22500"/>
    <x v="1"/>
    <x v="1"/>
    <x v="0"/>
    <n v="0"/>
    <x v="0"/>
    <s v="Professional"/>
    <s v="No"/>
    <x v="0"/>
    <x v="0"/>
    <x v="0"/>
    <n v="40"/>
    <x v="0"/>
    <x v="1"/>
    <n v="1"/>
    <x v="0"/>
  </r>
  <r>
    <n v="23993"/>
    <x v="1"/>
    <x v="0"/>
    <x v="4"/>
    <n v="0"/>
    <x v="1"/>
    <s v="Manual"/>
    <s v="No"/>
    <x v="1"/>
    <x v="0"/>
    <x v="1"/>
    <n v="26"/>
    <x v="2"/>
    <x v="1"/>
    <n v="1"/>
    <x v="0"/>
  </r>
  <r>
    <n v="14832"/>
    <x v="0"/>
    <x v="1"/>
    <x v="0"/>
    <n v="1"/>
    <x v="0"/>
    <s v="Skilled Manual"/>
    <s v="Yes"/>
    <x v="0"/>
    <x v="0"/>
    <x v="0"/>
    <n v="42"/>
    <x v="0"/>
    <x v="1"/>
    <n v="1"/>
    <x v="0"/>
  </r>
  <r>
    <n v="16614"/>
    <x v="0"/>
    <x v="0"/>
    <x v="2"/>
    <n v="0"/>
    <x v="0"/>
    <s v="Professional"/>
    <s v="Yes"/>
    <x v="4"/>
    <x v="4"/>
    <x v="1"/>
    <n v="32"/>
    <x v="0"/>
    <x v="0"/>
    <n v="0"/>
    <x v="1"/>
  </r>
  <r>
    <n v="20877"/>
    <x v="1"/>
    <x v="1"/>
    <x v="1"/>
    <n v="1"/>
    <x v="0"/>
    <s v="Clerical"/>
    <s v="Yes"/>
    <x v="0"/>
    <x v="3"/>
    <x v="0"/>
    <n v="37"/>
    <x v="0"/>
    <x v="1"/>
    <n v="1"/>
    <x v="0"/>
  </r>
  <r>
    <n v="20729"/>
    <x v="0"/>
    <x v="0"/>
    <x v="0"/>
    <n v="2"/>
    <x v="1"/>
    <s v="Clerical"/>
    <s v="No"/>
    <x v="1"/>
    <x v="0"/>
    <x v="0"/>
    <n v="34"/>
    <x v="0"/>
    <x v="0"/>
    <n v="0"/>
    <x v="0"/>
  </r>
  <r>
    <n v="22464"/>
    <x v="0"/>
    <x v="1"/>
    <x v="0"/>
    <n v="0"/>
    <x v="4"/>
    <s v="Clerical"/>
    <s v="Yes"/>
    <x v="0"/>
    <x v="0"/>
    <x v="0"/>
    <n v="37"/>
    <x v="0"/>
    <x v="1"/>
    <n v="1"/>
    <x v="0"/>
  </r>
  <r>
    <n v="19475"/>
    <x v="0"/>
    <x v="0"/>
    <x v="0"/>
    <n v="0"/>
    <x v="0"/>
    <s v="Professional"/>
    <s v="No"/>
    <x v="0"/>
    <x v="0"/>
    <x v="0"/>
    <n v="40"/>
    <x v="0"/>
    <x v="1"/>
    <n v="1"/>
    <x v="0"/>
  </r>
  <r>
    <n v="19675"/>
    <x v="0"/>
    <x v="1"/>
    <x v="6"/>
    <n v="4"/>
    <x v="2"/>
    <s v="Skilled Manual"/>
    <s v="Yes"/>
    <x v="2"/>
    <x v="2"/>
    <x v="1"/>
    <n v="60"/>
    <x v="1"/>
    <x v="0"/>
    <n v="0"/>
    <x v="0"/>
  </r>
  <r>
    <n v="12728"/>
    <x v="1"/>
    <x v="1"/>
    <x v="1"/>
    <n v="0"/>
    <x v="1"/>
    <s v="Clerical"/>
    <s v="No"/>
    <x v="1"/>
    <x v="3"/>
    <x v="0"/>
    <n v="27"/>
    <x v="2"/>
    <x v="0"/>
    <n v="0"/>
    <x v="0"/>
  </r>
  <r>
    <n v="26154"/>
    <x v="0"/>
    <x v="1"/>
    <x v="10"/>
    <n v="1"/>
    <x v="1"/>
    <s v="Skilled Manual"/>
    <s v="Yes"/>
    <x v="1"/>
    <x v="2"/>
    <x v="1"/>
    <n v="43"/>
    <x v="0"/>
    <x v="1"/>
    <n v="1"/>
    <x v="3"/>
  </r>
  <r>
    <n v="29117"/>
    <x v="1"/>
    <x v="1"/>
    <x v="11"/>
    <n v="1"/>
    <x v="0"/>
    <s v="Management"/>
    <s v="No"/>
    <x v="4"/>
    <x v="0"/>
    <x v="1"/>
    <n v="48"/>
    <x v="0"/>
    <x v="0"/>
    <n v="0"/>
    <x v="2"/>
  </r>
  <r>
    <n v="17845"/>
    <x v="1"/>
    <x v="0"/>
    <x v="6"/>
    <n v="0"/>
    <x v="3"/>
    <s v="Manual"/>
    <s v="No"/>
    <x v="2"/>
    <x v="3"/>
    <x v="0"/>
    <n v="32"/>
    <x v="0"/>
    <x v="0"/>
    <n v="0"/>
    <x v="0"/>
  </r>
  <r>
    <n v="25058"/>
    <x v="0"/>
    <x v="1"/>
    <x v="11"/>
    <n v="1"/>
    <x v="0"/>
    <s v="Management"/>
    <s v="Yes"/>
    <x v="4"/>
    <x v="1"/>
    <x v="1"/>
    <n v="47"/>
    <x v="0"/>
    <x v="0"/>
    <n v="0"/>
    <x v="2"/>
  </r>
  <r>
    <n v="23426"/>
    <x v="1"/>
    <x v="1"/>
    <x v="2"/>
    <n v="5"/>
    <x v="4"/>
    <s v="Management"/>
    <s v="Yes"/>
    <x v="4"/>
    <x v="0"/>
    <x v="1"/>
    <n v="40"/>
    <x v="0"/>
    <x v="0"/>
    <n v="0"/>
    <x v="1"/>
  </r>
  <r>
    <n v="14798"/>
    <x v="1"/>
    <x v="0"/>
    <x v="4"/>
    <n v="4"/>
    <x v="3"/>
    <s v="Manual"/>
    <s v="Yes"/>
    <x v="2"/>
    <x v="0"/>
    <x v="0"/>
    <n v="41"/>
    <x v="0"/>
    <x v="1"/>
    <n v="1"/>
    <x v="0"/>
  </r>
  <r>
    <n v="12664"/>
    <x v="0"/>
    <x v="0"/>
    <x v="12"/>
    <n v="5"/>
    <x v="1"/>
    <s v="Professional"/>
    <s v="Yes"/>
    <x v="3"/>
    <x v="0"/>
    <x v="0"/>
    <n v="59"/>
    <x v="1"/>
    <x v="0"/>
    <n v="0"/>
    <x v="2"/>
  </r>
  <r>
    <n v="23979"/>
    <x v="1"/>
    <x v="1"/>
    <x v="4"/>
    <n v="2"/>
    <x v="1"/>
    <s v="Manual"/>
    <s v="No"/>
    <x v="0"/>
    <x v="0"/>
    <x v="0"/>
    <n v="50"/>
    <x v="0"/>
    <x v="0"/>
    <n v="0"/>
    <x v="0"/>
  </r>
  <r>
    <n v="25605"/>
    <x v="1"/>
    <x v="0"/>
    <x v="6"/>
    <n v="2"/>
    <x v="1"/>
    <s v="Manual"/>
    <s v="No"/>
    <x v="1"/>
    <x v="0"/>
    <x v="0"/>
    <n v="54"/>
    <x v="0"/>
    <x v="1"/>
    <n v="1"/>
    <x v="0"/>
  </r>
  <r>
    <n v="20797"/>
    <x v="0"/>
    <x v="0"/>
    <x v="4"/>
    <n v="1"/>
    <x v="0"/>
    <s v="Manual"/>
    <s v="Yes"/>
    <x v="0"/>
    <x v="0"/>
    <x v="0"/>
    <n v="48"/>
    <x v="0"/>
    <x v="0"/>
    <n v="0"/>
    <x v="0"/>
  </r>
  <r>
    <n v="21980"/>
    <x v="1"/>
    <x v="0"/>
    <x v="10"/>
    <n v="1"/>
    <x v="0"/>
    <s v="Professional"/>
    <s v="Yes"/>
    <x v="1"/>
    <x v="2"/>
    <x v="1"/>
    <n v="44"/>
    <x v="0"/>
    <x v="1"/>
    <n v="1"/>
    <x v="3"/>
  </r>
  <r>
    <n v="25460"/>
    <x v="0"/>
    <x v="0"/>
    <x v="6"/>
    <n v="2"/>
    <x v="2"/>
    <s v="Manual"/>
    <s v="Yes"/>
    <x v="0"/>
    <x v="0"/>
    <x v="0"/>
    <n v="40"/>
    <x v="0"/>
    <x v="1"/>
    <n v="1"/>
    <x v="0"/>
  </r>
  <r>
    <n v="29181"/>
    <x v="1"/>
    <x v="0"/>
    <x v="10"/>
    <n v="2"/>
    <x v="0"/>
    <s v="Professional"/>
    <s v="No"/>
    <x v="1"/>
    <x v="0"/>
    <x v="1"/>
    <n v="38"/>
    <x v="0"/>
    <x v="1"/>
    <n v="1"/>
    <x v="3"/>
  </r>
  <r>
    <n v="24279"/>
    <x v="1"/>
    <x v="1"/>
    <x v="0"/>
    <n v="2"/>
    <x v="1"/>
    <s v="Skilled Manual"/>
    <s v="No"/>
    <x v="2"/>
    <x v="3"/>
    <x v="1"/>
    <n v="52"/>
    <x v="0"/>
    <x v="0"/>
    <n v="0"/>
    <x v="0"/>
  </r>
  <r>
    <n v="22402"/>
    <x v="0"/>
    <x v="1"/>
    <x v="4"/>
    <n v="0"/>
    <x v="1"/>
    <s v="Manual"/>
    <s v="Yes"/>
    <x v="1"/>
    <x v="1"/>
    <x v="1"/>
    <n v="25"/>
    <x v="2"/>
    <x v="1"/>
    <n v="1"/>
    <x v="0"/>
  </r>
  <r>
    <n v="15465"/>
    <x v="0"/>
    <x v="0"/>
    <x v="4"/>
    <n v="0"/>
    <x v="1"/>
    <s v="Manual"/>
    <s v="No"/>
    <x v="1"/>
    <x v="0"/>
    <x v="1"/>
    <n v="25"/>
    <x v="2"/>
    <x v="0"/>
    <n v="0"/>
    <x v="0"/>
  </r>
  <r>
    <n v="26757"/>
    <x v="1"/>
    <x v="1"/>
    <x v="8"/>
    <n v="1"/>
    <x v="0"/>
    <s v="Professional"/>
    <s v="Yes"/>
    <x v="1"/>
    <x v="1"/>
    <x v="1"/>
    <n v="47"/>
    <x v="0"/>
    <x v="1"/>
    <n v="1"/>
    <x v="2"/>
  </r>
  <r>
    <n v="14233"/>
    <x v="1"/>
    <x v="1"/>
    <x v="11"/>
    <n v="0"/>
    <x v="2"/>
    <s v="Management"/>
    <s v="Yes"/>
    <x v="4"/>
    <x v="4"/>
    <x v="1"/>
    <n v="35"/>
    <x v="0"/>
    <x v="0"/>
    <n v="0"/>
    <x v="2"/>
  </r>
  <r>
    <n v="14058"/>
    <x v="1"/>
    <x v="1"/>
    <x v="3"/>
    <n v="0"/>
    <x v="0"/>
    <s v="Professional"/>
    <s v="No"/>
    <x v="1"/>
    <x v="2"/>
    <x v="1"/>
    <n v="41"/>
    <x v="0"/>
    <x v="1"/>
    <n v="1"/>
    <x v="1"/>
  </r>
  <r>
    <n v="12273"/>
    <x v="0"/>
    <x v="1"/>
    <x v="1"/>
    <n v="1"/>
    <x v="0"/>
    <s v="Clerical"/>
    <s v="Yes"/>
    <x v="0"/>
    <x v="0"/>
    <x v="0"/>
    <n v="47"/>
    <x v="0"/>
    <x v="0"/>
    <n v="0"/>
    <x v="0"/>
  </r>
  <r>
    <n v="17203"/>
    <x v="0"/>
    <x v="0"/>
    <x v="12"/>
    <n v="4"/>
    <x v="1"/>
    <s v="Professional"/>
    <s v="Yes"/>
    <x v="3"/>
    <x v="2"/>
    <x v="0"/>
    <n v="61"/>
    <x v="1"/>
    <x v="1"/>
    <n v="1"/>
    <x v="2"/>
  </r>
  <r>
    <n v="18144"/>
    <x v="0"/>
    <x v="0"/>
    <x v="2"/>
    <n v="5"/>
    <x v="0"/>
    <s v="Management"/>
    <s v="Yes"/>
    <x v="2"/>
    <x v="1"/>
    <x v="0"/>
    <n v="61"/>
    <x v="1"/>
    <x v="0"/>
    <n v="0"/>
    <x v="1"/>
  </r>
  <r>
    <n v="23963"/>
    <x v="0"/>
    <x v="1"/>
    <x v="4"/>
    <n v="0"/>
    <x v="3"/>
    <s v="Manual"/>
    <s v="No"/>
    <x v="2"/>
    <x v="0"/>
    <x v="0"/>
    <n v="33"/>
    <x v="0"/>
    <x v="0"/>
    <n v="0"/>
    <x v="0"/>
  </r>
  <r>
    <n v="17907"/>
    <x v="0"/>
    <x v="0"/>
    <x v="4"/>
    <n v="0"/>
    <x v="1"/>
    <s v="Manual"/>
    <s v="Yes"/>
    <x v="1"/>
    <x v="1"/>
    <x v="1"/>
    <n v="27"/>
    <x v="2"/>
    <x v="0"/>
    <n v="0"/>
    <x v="0"/>
  </r>
  <r>
    <n v="19442"/>
    <x v="1"/>
    <x v="1"/>
    <x v="14"/>
    <n v="0"/>
    <x v="4"/>
    <s v="Skilled Manual"/>
    <s v="Yes"/>
    <x v="0"/>
    <x v="0"/>
    <x v="0"/>
    <n v="37"/>
    <x v="0"/>
    <x v="1"/>
    <n v="1"/>
    <x v="3"/>
  </r>
  <r>
    <n v="17504"/>
    <x v="1"/>
    <x v="0"/>
    <x v="2"/>
    <n v="2"/>
    <x v="1"/>
    <s v="Skilled Manual"/>
    <s v="Yes"/>
    <x v="2"/>
    <x v="2"/>
    <x v="1"/>
    <n v="52"/>
    <x v="0"/>
    <x v="1"/>
    <n v="1"/>
    <x v="1"/>
  </r>
  <r>
    <n v="12253"/>
    <x v="1"/>
    <x v="0"/>
    <x v="6"/>
    <n v="0"/>
    <x v="1"/>
    <s v="Manual"/>
    <s v="Yes"/>
    <x v="0"/>
    <x v="0"/>
    <x v="1"/>
    <n v="29"/>
    <x v="2"/>
    <x v="1"/>
    <n v="1"/>
    <x v="0"/>
  </r>
  <r>
    <n v="27304"/>
    <x v="1"/>
    <x v="0"/>
    <x v="15"/>
    <n v="2"/>
    <x v="1"/>
    <s v="Professional"/>
    <s v="No"/>
    <x v="4"/>
    <x v="2"/>
    <x v="0"/>
    <n v="48"/>
    <x v="0"/>
    <x v="0"/>
    <n v="0"/>
    <x v="2"/>
  </r>
  <r>
    <n v="14191"/>
    <x v="0"/>
    <x v="1"/>
    <x v="5"/>
    <n v="4"/>
    <x v="1"/>
    <s v="Professional"/>
    <s v="No"/>
    <x v="2"/>
    <x v="4"/>
    <x v="0"/>
    <n v="55"/>
    <x v="0"/>
    <x v="1"/>
    <n v="1"/>
    <x v="2"/>
  </r>
  <r>
    <n v="12212"/>
    <x v="0"/>
    <x v="0"/>
    <x v="4"/>
    <n v="0"/>
    <x v="4"/>
    <s v="Manual"/>
    <s v="Yes"/>
    <x v="0"/>
    <x v="0"/>
    <x v="0"/>
    <n v="37"/>
    <x v="0"/>
    <x v="1"/>
    <n v="1"/>
    <x v="0"/>
  </r>
  <r>
    <n v="25529"/>
    <x v="1"/>
    <x v="1"/>
    <x v="4"/>
    <n v="1"/>
    <x v="4"/>
    <s v="Manual"/>
    <s v="Yes"/>
    <x v="0"/>
    <x v="0"/>
    <x v="0"/>
    <n v="44"/>
    <x v="0"/>
    <x v="0"/>
    <n v="0"/>
    <x v="0"/>
  </r>
  <r>
    <n v="22170"/>
    <x v="0"/>
    <x v="0"/>
    <x v="1"/>
    <n v="3"/>
    <x v="1"/>
    <s v="Clerical"/>
    <s v="No"/>
    <x v="2"/>
    <x v="3"/>
    <x v="1"/>
    <n v="55"/>
    <x v="0"/>
    <x v="1"/>
    <n v="1"/>
    <x v="0"/>
  </r>
  <r>
    <n v="19445"/>
    <x v="0"/>
    <x v="0"/>
    <x v="4"/>
    <n v="2"/>
    <x v="2"/>
    <s v="Manual"/>
    <s v="No"/>
    <x v="1"/>
    <x v="0"/>
    <x v="0"/>
    <n v="38"/>
    <x v="0"/>
    <x v="0"/>
    <n v="0"/>
    <x v="0"/>
  </r>
  <r>
    <n v="15265"/>
    <x v="1"/>
    <x v="1"/>
    <x v="0"/>
    <n v="2"/>
    <x v="0"/>
    <s v="Management"/>
    <s v="Yes"/>
    <x v="2"/>
    <x v="2"/>
    <x v="1"/>
    <n v="66"/>
    <x v="1"/>
    <x v="1"/>
    <n v="1"/>
    <x v="0"/>
  </r>
  <r>
    <n v="28918"/>
    <x v="0"/>
    <x v="0"/>
    <x v="12"/>
    <n v="4"/>
    <x v="2"/>
    <s v="Management"/>
    <s v="No"/>
    <x v="3"/>
    <x v="4"/>
    <x v="0"/>
    <n v="58"/>
    <x v="1"/>
    <x v="0"/>
    <n v="0"/>
    <x v="2"/>
  </r>
  <r>
    <n v="15799"/>
    <x v="0"/>
    <x v="0"/>
    <x v="8"/>
    <n v="1"/>
    <x v="0"/>
    <s v="Professional"/>
    <s v="Yes"/>
    <x v="1"/>
    <x v="1"/>
    <x v="1"/>
    <n v="47"/>
    <x v="0"/>
    <x v="1"/>
    <n v="1"/>
    <x v="2"/>
  </r>
  <r>
    <n v="11047"/>
    <x v="0"/>
    <x v="0"/>
    <x v="1"/>
    <n v="3"/>
    <x v="2"/>
    <s v="Skilled Manual"/>
    <s v="No"/>
    <x v="2"/>
    <x v="3"/>
    <x v="1"/>
    <n v="56"/>
    <x v="1"/>
    <x v="1"/>
    <n v="1"/>
    <x v="0"/>
  </r>
  <r>
    <n v="18151"/>
    <x v="1"/>
    <x v="1"/>
    <x v="2"/>
    <n v="5"/>
    <x v="1"/>
    <s v="Professional"/>
    <s v="No"/>
    <x v="2"/>
    <x v="4"/>
    <x v="0"/>
    <n v="59"/>
    <x v="1"/>
    <x v="0"/>
    <n v="0"/>
    <x v="1"/>
  </r>
  <r>
    <n v="20606"/>
    <x v="0"/>
    <x v="0"/>
    <x v="3"/>
    <n v="0"/>
    <x v="0"/>
    <s v="Professional"/>
    <s v="Yes"/>
    <x v="3"/>
    <x v="4"/>
    <x v="1"/>
    <n v="32"/>
    <x v="0"/>
    <x v="1"/>
    <n v="1"/>
    <x v="1"/>
  </r>
  <r>
    <n v="19482"/>
    <x v="0"/>
    <x v="1"/>
    <x v="1"/>
    <n v="1"/>
    <x v="1"/>
    <s v="Clerical"/>
    <s v="Yes"/>
    <x v="1"/>
    <x v="0"/>
    <x v="0"/>
    <n v="44"/>
    <x v="0"/>
    <x v="1"/>
    <n v="1"/>
    <x v="0"/>
  </r>
  <r>
    <n v="16489"/>
    <x v="0"/>
    <x v="1"/>
    <x v="1"/>
    <n v="3"/>
    <x v="2"/>
    <s v="Skilled Manual"/>
    <s v="Yes"/>
    <x v="2"/>
    <x v="2"/>
    <x v="1"/>
    <n v="55"/>
    <x v="0"/>
    <x v="0"/>
    <n v="0"/>
    <x v="0"/>
  </r>
  <r>
    <n v="26944"/>
    <x v="1"/>
    <x v="1"/>
    <x v="8"/>
    <n v="2"/>
    <x v="2"/>
    <s v="Manual"/>
    <s v="Yes"/>
    <x v="0"/>
    <x v="0"/>
    <x v="0"/>
    <n v="36"/>
    <x v="0"/>
    <x v="1"/>
    <n v="1"/>
    <x v="2"/>
  </r>
  <r>
    <n v="15682"/>
    <x v="1"/>
    <x v="0"/>
    <x v="2"/>
    <n v="5"/>
    <x v="0"/>
    <s v="Management"/>
    <s v="Yes"/>
    <x v="2"/>
    <x v="4"/>
    <x v="0"/>
    <n v="62"/>
    <x v="1"/>
    <x v="0"/>
    <n v="0"/>
    <x v="1"/>
  </r>
  <r>
    <n v="26032"/>
    <x v="0"/>
    <x v="0"/>
    <x v="3"/>
    <n v="5"/>
    <x v="0"/>
    <s v="Professional"/>
    <s v="Yes"/>
    <x v="3"/>
    <x v="4"/>
    <x v="1"/>
    <n v="41"/>
    <x v="0"/>
    <x v="0"/>
    <n v="0"/>
    <x v="1"/>
  </r>
  <r>
    <n v="17843"/>
    <x v="1"/>
    <x v="0"/>
    <x v="4"/>
    <n v="0"/>
    <x v="3"/>
    <s v="Manual"/>
    <s v="No"/>
    <x v="2"/>
    <x v="0"/>
    <x v="0"/>
    <n v="32"/>
    <x v="0"/>
    <x v="0"/>
    <n v="0"/>
    <x v="0"/>
  </r>
  <r>
    <n v="25559"/>
    <x v="1"/>
    <x v="1"/>
    <x v="6"/>
    <n v="0"/>
    <x v="0"/>
    <s v="Clerical"/>
    <s v="Yes"/>
    <x v="0"/>
    <x v="0"/>
    <x v="1"/>
    <n v="25"/>
    <x v="2"/>
    <x v="1"/>
    <n v="1"/>
    <x v="0"/>
  </r>
  <r>
    <n v="16209"/>
    <x v="1"/>
    <x v="0"/>
    <x v="14"/>
    <n v="0"/>
    <x v="4"/>
    <s v="Skilled Manual"/>
    <s v="Yes"/>
    <x v="0"/>
    <x v="3"/>
    <x v="0"/>
    <n v="36"/>
    <x v="0"/>
    <x v="0"/>
    <n v="0"/>
    <x v="3"/>
  </r>
  <r>
    <n v="11147"/>
    <x v="0"/>
    <x v="1"/>
    <x v="10"/>
    <n v="2"/>
    <x v="4"/>
    <s v="Management"/>
    <s v="Yes"/>
    <x v="1"/>
    <x v="0"/>
    <x v="1"/>
    <n v="67"/>
    <x v="1"/>
    <x v="1"/>
    <n v="1"/>
    <x v="3"/>
  </r>
  <r>
    <n v="15214"/>
    <x v="1"/>
    <x v="0"/>
    <x v="11"/>
    <n v="0"/>
    <x v="4"/>
    <s v="Management"/>
    <s v="No"/>
    <x v="1"/>
    <x v="3"/>
    <x v="1"/>
    <n v="39"/>
    <x v="0"/>
    <x v="1"/>
    <n v="1"/>
    <x v="2"/>
  </r>
  <r>
    <n v="11453"/>
    <x v="1"/>
    <x v="1"/>
    <x v="2"/>
    <n v="0"/>
    <x v="0"/>
    <s v="Professional"/>
    <s v="No"/>
    <x v="4"/>
    <x v="4"/>
    <x v="1"/>
    <n v="33"/>
    <x v="0"/>
    <x v="1"/>
    <n v="1"/>
    <x v="1"/>
  </r>
  <r>
    <n v="24584"/>
    <x v="1"/>
    <x v="1"/>
    <x v="10"/>
    <n v="0"/>
    <x v="0"/>
    <s v="Professional"/>
    <s v="No"/>
    <x v="4"/>
    <x v="1"/>
    <x v="1"/>
    <n v="31"/>
    <x v="0"/>
    <x v="0"/>
    <n v="0"/>
    <x v="3"/>
  </r>
  <r>
    <n v="12585"/>
    <x v="0"/>
    <x v="1"/>
    <x v="4"/>
    <n v="1"/>
    <x v="2"/>
    <s v="Manual"/>
    <s v="Yes"/>
    <x v="0"/>
    <x v="1"/>
    <x v="1"/>
    <n v="27"/>
    <x v="2"/>
    <x v="1"/>
    <n v="1"/>
    <x v="0"/>
  </r>
  <r>
    <n v="18626"/>
    <x v="1"/>
    <x v="1"/>
    <x v="0"/>
    <n v="2"/>
    <x v="1"/>
    <s v="Clerical"/>
    <s v="Yes"/>
    <x v="0"/>
    <x v="3"/>
    <x v="0"/>
    <n v="33"/>
    <x v="0"/>
    <x v="1"/>
    <n v="1"/>
    <x v="0"/>
  </r>
  <r>
    <n v="29298"/>
    <x v="1"/>
    <x v="0"/>
    <x v="10"/>
    <n v="1"/>
    <x v="1"/>
    <s v="Skilled Manual"/>
    <s v="Yes"/>
    <x v="1"/>
    <x v="2"/>
    <x v="1"/>
    <n v="46"/>
    <x v="0"/>
    <x v="1"/>
    <n v="1"/>
    <x v="3"/>
  </r>
  <r>
    <n v="24842"/>
    <x v="1"/>
    <x v="0"/>
    <x v="8"/>
    <n v="3"/>
    <x v="2"/>
    <s v="Professional"/>
    <s v="No"/>
    <x v="1"/>
    <x v="1"/>
    <x v="0"/>
    <n v="51"/>
    <x v="0"/>
    <x v="0"/>
    <n v="0"/>
    <x v="2"/>
  </r>
  <r>
    <n v="15657"/>
    <x v="0"/>
    <x v="1"/>
    <x v="1"/>
    <n v="3"/>
    <x v="4"/>
    <s v="Clerical"/>
    <s v="Yes"/>
    <x v="0"/>
    <x v="0"/>
    <x v="0"/>
    <n v="46"/>
    <x v="0"/>
    <x v="1"/>
    <n v="1"/>
    <x v="0"/>
  </r>
  <r>
    <n v="11415"/>
    <x v="1"/>
    <x v="1"/>
    <x v="8"/>
    <n v="5"/>
    <x v="1"/>
    <s v="Professional"/>
    <s v="No"/>
    <x v="2"/>
    <x v="4"/>
    <x v="0"/>
    <n v="62"/>
    <x v="1"/>
    <x v="0"/>
    <n v="0"/>
    <x v="2"/>
  </r>
  <r>
    <n v="28729"/>
    <x v="1"/>
    <x v="0"/>
    <x v="6"/>
    <n v="0"/>
    <x v="3"/>
    <s v="Manual"/>
    <s v="Yes"/>
    <x v="2"/>
    <x v="3"/>
    <x v="0"/>
    <n v="26"/>
    <x v="2"/>
    <x v="1"/>
    <n v="1"/>
    <x v="0"/>
  </r>
  <r>
    <n v="22633"/>
    <x v="1"/>
    <x v="0"/>
    <x v="0"/>
    <n v="0"/>
    <x v="4"/>
    <s v="Clerical"/>
    <s v="Yes"/>
    <x v="0"/>
    <x v="0"/>
    <x v="0"/>
    <n v="37"/>
    <x v="0"/>
    <x v="1"/>
    <n v="1"/>
    <x v="0"/>
  </r>
  <r>
    <n v="25649"/>
    <x v="1"/>
    <x v="0"/>
    <x v="1"/>
    <n v="3"/>
    <x v="1"/>
    <s v="Clerical"/>
    <s v="Yes"/>
    <x v="0"/>
    <x v="0"/>
    <x v="0"/>
    <n v="42"/>
    <x v="0"/>
    <x v="1"/>
    <n v="1"/>
    <x v="0"/>
  </r>
  <r>
    <n v="14669"/>
    <x v="0"/>
    <x v="0"/>
    <x v="2"/>
    <n v="4"/>
    <x v="4"/>
    <s v="Management"/>
    <s v="Yes"/>
    <x v="1"/>
    <x v="0"/>
    <x v="1"/>
    <n v="36"/>
    <x v="0"/>
    <x v="0"/>
    <n v="0"/>
    <x v="1"/>
  </r>
  <r>
    <n v="19299"/>
    <x v="0"/>
    <x v="0"/>
    <x v="14"/>
    <n v="0"/>
    <x v="4"/>
    <s v="Skilled Manual"/>
    <s v="Yes"/>
    <x v="0"/>
    <x v="0"/>
    <x v="0"/>
    <n v="36"/>
    <x v="0"/>
    <x v="1"/>
    <n v="1"/>
    <x v="3"/>
  </r>
  <r>
    <n v="20946"/>
    <x v="1"/>
    <x v="0"/>
    <x v="1"/>
    <n v="0"/>
    <x v="1"/>
    <s v="Clerical"/>
    <s v="No"/>
    <x v="1"/>
    <x v="1"/>
    <x v="0"/>
    <n v="30"/>
    <x v="2"/>
    <x v="0"/>
    <n v="0"/>
    <x v="0"/>
  </r>
  <r>
    <n v="11451"/>
    <x v="1"/>
    <x v="1"/>
    <x v="3"/>
    <n v="0"/>
    <x v="0"/>
    <s v="Professional"/>
    <s v="No"/>
    <x v="3"/>
    <x v="4"/>
    <x v="1"/>
    <n v="31"/>
    <x v="0"/>
    <x v="1"/>
    <n v="1"/>
    <x v="1"/>
  </r>
  <r>
    <n v="25553"/>
    <x v="0"/>
    <x v="1"/>
    <x v="1"/>
    <n v="1"/>
    <x v="0"/>
    <s v="Clerical"/>
    <s v="Yes"/>
    <x v="0"/>
    <x v="0"/>
    <x v="0"/>
    <n v="65"/>
    <x v="1"/>
    <x v="1"/>
    <n v="1"/>
    <x v="0"/>
  </r>
  <r>
    <n v="27951"/>
    <x v="1"/>
    <x v="1"/>
    <x v="2"/>
    <n v="4"/>
    <x v="1"/>
    <s v="Professional"/>
    <s v="No"/>
    <x v="2"/>
    <x v="1"/>
    <x v="0"/>
    <n v="54"/>
    <x v="0"/>
    <x v="1"/>
    <n v="1"/>
    <x v="1"/>
  </r>
  <r>
    <n v="25026"/>
    <x v="0"/>
    <x v="1"/>
    <x v="6"/>
    <n v="2"/>
    <x v="3"/>
    <s v="Clerical"/>
    <s v="Yes"/>
    <x v="4"/>
    <x v="2"/>
    <x v="1"/>
    <n v="54"/>
    <x v="0"/>
    <x v="0"/>
    <n v="0"/>
    <x v="0"/>
  </r>
  <r>
    <n v="13673"/>
    <x v="1"/>
    <x v="0"/>
    <x v="6"/>
    <n v="0"/>
    <x v="3"/>
    <s v="Manual"/>
    <s v="No"/>
    <x v="2"/>
    <x v="0"/>
    <x v="0"/>
    <n v="25"/>
    <x v="2"/>
    <x v="0"/>
    <n v="0"/>
    <x v="0"/>
  </r>
  <r>
    <n v="16043"/>
    <x v="1"/>
    <x v="1"/>
    <x v="4"/>
    <n v="1"/>
    <x v="0"/>
    <s v="Manual"/>
    <s v="Yes"/>
    <x v="0"/>
    <x v="0"/>
    <x v="0"/>
    <n v="48"/>
    <x v="0"/>
    <x v="0"/>
    <n v="0"/>
    <x v="0"/>
  </r>
  <r>
    <n v="22399"/>
    <x v="1"/>
    <x v="1"/>
    <x v="4"/>
    <n v="0"/>
    <x v="1"/>
    <s v="Manual"/>
    <s v="Yes"/>
    <x v="1"/>
    <x v="3"/>
    <x v="1"/>
    <n v="26"/>
    <x v="2"/>
    <x v="1"/>
    <n v="1"/>
    <x v="0"/>
  </r>
  <r>
    <n v="27696"/>
    <x v="0"/>
    <x v="1"/>
    <x v="10"/>
    <n v="1"/>
    <x v="0"/>
    <s v="Professional"/>
    <s v="Yes"/>
    <x v="1"/>
    <x v="2"/>
    <x v="1"/>
    <n v="43"/>
    <x v="0"/>
    <x v="1"/>
    <n v="1"/>
    <x v="3"/>
  </r>
  <r>
    <n v="25313"/>
    <x v="1"/>
    <x v="1"/>
    <x v="4"/>
    <n v="0"/>
    <x v="3"/>
    <s v="Manual"/>
    <s v="No"/>
    <x v="2"/>
    <x v="3"/>
    <x v="0"/>
    <n v="35"/>
    <x v="0"/>
    <x v="0"/>
    <n v="0"/>
    <x v="0"/>
  </r>
  <r>
    <n v="13813"/>
    <x v="0"/>
    <x v="0"/>
    <x v="1"/>
    <n v="3"/>
    <x v="1"/>
    <s v="Clerical"/>
    <s v="No"/>
    <x v="0"/>
    <x v="0"/>
    <x v="0"/>
    <n v="42"/>
    <x v="0"/>
    <x v="0"/>
    <n v="0"/>
    <x v="0"/>
  </r>
  <r>
    <n v="18711"/>
    <x v="1"/>
    <x v="0"/>
    <x v="3"/>
    <n v="5"/>
    <x v="0"/>
    <s v="Professional"/>
    <s v="Yes"/>
    <x v="3"/>
    <x v="4"/>
    <x v="1"/>
    <n v="39"/>
    <x v="0"/>
    <x v="0"/>
    <n v="0"/>
    <x v="1"/>
  </r>
  <r>
    <n v="19650"/>
    <x v="0"/>
    <x v="0"/>
    <x v="1"/>
    <n v="2"/>
    <x v="1"/>
    <s v="Clerical"/>
    <s v="No"/>
    <x v="2"/>
    <x v="0"/>
    <x v="1"/>
    <n v="67"/>
    <x v="1"/>
    <x v="0"/>
    <n v="0"/>
    <x v="0"/>
  </r>
  <r>
    <n v="14135"/>
    <x v="0"/>
    <x v="1"/>
    <x v="6"/>
    <n v="1"/>
    <x v="1"/>
    <s v="Manual"/>
    <s v="Yes"/>
    <x v="0"/>
    <x v="3"/>
    <x v="0"/>
    <n v="35"/>
    <x v="0"/>
    <x v="0"/>
    <n v="0"/>
    <x v="0"/>
  </r>
  <r>
    <n v="12833"/>
    <x v="1"/>
    <x v="0"/>
    <x v="6"/>
    <n v="3"/>
    <x v="2"/>
    <s v="Manual"/>
    <s v="Yes"/>
    <x v="1"/>
    <x v="0"/>
    <x v="0"/>
    <n v="42"/>
    <x v="0"/>
    <x v="1"/>
    <n v="1"/>
    <x v="0"/>
  </r>
  <r>
    <n v="26849"/>
    <x v="0"/>
    <x v="1"/>
    <x v="4"/>
    <n v="3"/>
    <x v="3"/>
    <s v="Manual"/>
    <s v="Yes"/>
    <x v="2"/>
    <x v="0"/>
    <x v="0"/>
    <n v="43"/>
    <x v="0"/>
    <x v="0"/>
    <n v="0"/>
    <x v="0"/>
  </r>
  <r>
    <n v="20962"/>
    <x v="0"/>
    <x v="0"/>
    <x v="6"/>
    <n v="1"/>
    <x v="4"/>
    <s v="Clerical"/>
    <s v="Yes"/>
    <x v="0"/>
    <x v="0"/>
    <x v="0"/>
    <n v="45"/>
    <x v="0"/>
    <x v="0"/>
    <n v="0"/>
    <x v="0"/>
  </r>
  <r>
    <n v="28915"/>
    <x v="1"/>
    <x v="1"/>
    <x v="2"/>
    <n v="5"/>
    <x v="2"/>
    <s v="Management"/>
    <s v="Yes"/>
    <x v="4"/>
    <x v="4"/>
    <x v="0"/>
    <n v="57"/>
    <x v="1"/>
    <x v="0"/>
    <n v="0"/>
    <x v="1"/>
  </r>
  <r>
    <n v="22830"/>
    <x v="0"/>
    <x v="1"/>
    <x v="7"/>
    <n v="4"/>
    <x v="1"/>
    <s v="Management"/>
    <s v="Yes"/>
    <x v="4"/>
    <x v="4"/>
    <x v="0"/>
    <n v="56"/>
    <x v="1"/>
    <x v="0"/>
    <n v="0"/>
    <x v="2"/>
  </r>
  <r>
    <n v="14777"/>
    <x v="0"/>
    <x v="0"/>
    <x v="0"/>
    <n v="0"/>
    <x v="0"/>
    <s v="Clerical"/>
    <s v="Yes"/>
    <x v="0"/>
    <x v="0"/>
    <x v="0"/>
    <n v="38"/>
    <x v="0"/>
    <x v="1"/>
    <n v="1"/>
    <x v="0"/>
  </r>
  <r>
    <n v="12591"/>
    <x v="0"/>
    <x v="0"/>
    <x v="1"/>
    <n v="4"/>
    <x v="4"/>
    <s v="Clerical"/>
    <s v="Yes"/>
    <x v="0"/>
    <x v="0"/>
    <x v="0"/>
    <n v="45"/>
    <x v="0"/>
    <x v="0"/>
    <n v="0"/>
    <x v="0"/>
  </r>
  <r>
    <n v="24174"/>
    <x v="0"/>
    <x v="1"/>
    <x v="6"/>
    <n v="0"/>
    <x v="0"/>
    <s v="Clerical"/>
    <s v="Yes"/>
    <x v="0"/>
    <x v="0"/>
    <x v="1"/>
    <n v="27"/>
    <x v="2"/>
    <x v="1"/>
    <n v="1"/>
    <x v="0"/>
  </r>
  <r>
    <n v="24611"/>
    <x v="1"/>
    <x v="1"/>
    <x v="8"/>
    <n v="0"/>
    <x v="0"/>
    <s v="Professional"/>
    <s v="No"/>
    <x v="3"/>
    <x v="4"/>
    <x v="1"/>
    <n v="35"/>
    <x v="0"/>
    <x v="1"/>
    <n v="1"/>
    <x v="2"/>
  </r>
  <r>
    <n v="11340"/>
    <x v="0"/>
    <x v="0"/>
    <x v="4"/>
    <n v="1"/>
    <x v="4"/>
    <s v="Clerical"/>
    <s v="Yes"/>
    <x v="0"/>
    <x v="0"/>
    <x v="0"/>
    <n v="70"/>
    <x v="1"/>
    <x v="1"/>
    <n v="1"/>
    <x v="0"/>
  </r>
  <r>
    <n v="25693"/>
    <x v="1"/>
    <x v="0"/>
    <x v="1"/>
    <n v="5"/>
    <x v="4"/>
    <s v="Clerical"/>
    <s v="Yes"/>
    <x v="0"/>
    <x v="0"/>
    <x v="0"/>
    <n v="44"/>
    <x v="0"/>
    <x v="1"/>
    <n v="1"/>
    <x v="0"/>
  </r>
  <r>
    <n v="25555"/>
    <x v="0"/>
    <x v="0"/>
    <x v="4"/>
    <n v="0"/>
    <x v="1"/>
    <s v="Manual"/>
    <s v="No"/>
    <x v="1"/>
    <x v="0"/>
    <x v="1"/>
    <n v="26"/>
    <x v="2"/>
    <x v="1"/>
    <n v="1"/>
    <x v="0"/>
  </r>
  <r>
    <n v="22006"/>
    <x v="0"/>
    <x v="1"/>
    <x v="3"/>
    <n v="5"/>
    <x v="1"/>
    <s v="Skilled Manual"/>
    <s v="Yes"/>
    <x v="4"/>
    <x v="2"/>
    <x v="1"/>
    <n v="46"/>
    <x v="0"/>
    <x v="0"/>
    <n v="0"/>
    <x v="1"/>
  </r>
  <r>
    <n v="20060"/>
    <x v="1"/>
    <x v="0"/>
    <x v="1"/>
    <n v="0"/>
    <x v="2"/>
    <s v="Manual"/>
    <s v="No"/>
    <x v="1"/>
    <x v="1"/>
    <x v="0"/>
    <n v="34"/>
    <x v="0"/>
    <x v="1"/>
    <n v="1"/>
    <x v="0"/>
  </r>
  <r>
    <n v="17702"/>
    <x v="0"/>
    <x v="1"/>
    <x v="4"/>
    <n v="1"/>
    <x v="4"/>
    <s v="Manual"/>
    <s v="Yes"/>
    <x v="0"/>
    <x v="0"/>
    <x v="0"/>
    <n v="37"/>
    <x v="0"/>
    <x v="0"/>
    <n v="0"/>
    <x v="0"/>
  </r>
  <r>
    <n v="12503"/>
    <x v="1"/>
    <x v="0"/>
    <x v="1"/>
    <n v="3"/>
    <x v="1"/>
    <s v="Clerical"/>
    <s v="Yes"/>
    <x v="2"/>
    <x v="0"/>
    <x v="0"/>
    <n v="27"/>
    <x v="2"/>
    <x v="0"/>
    <n v="0"/>
    <x v="0"/>
  </r>
  <r>
    <n v="23908"/>
    <x v="1"/>
    <x v="1"/>
    <x v="1"/>
    <n v="1"/>
    <x v="0"/>
    <s v="Clerical"/>
    <s v="No"/>
    <x v="1"/>
    <x v="0"/>
    <x v="0"/>
    <n v="39"/>
    <x v="0"/>
    <x v="1"/>
    <n v="1"/>
    <x v="0"/>
  </r>
  <r>
    <n v="22527"/>
    <x v="1"/>
    <x v="0"/>
    <x v="6"/>
    <n v="0"/>
    <x v="2"/>
    <s v="Manual"/>
    <s v="No"/>
    <x v="1"/>
    <x v="1"/>
    <x v="0"/>
    <n v="29"/>
    <x v="2"/>
    <x v="0"/>
    <n v="0"/>
    <x v="0"/>
  </r>
  <r>
    <n v="19057"/>
    <x v="0"/>
    <x v="0"/>
    <x v="7"/>
    <n v="3"/>
    <x v="0"/>
    <s v="Management"/>
    <s v="No"/>
    <x v="2"/>
    <x v="4"/>
    <x v="0"/>
    <n v="52"/>
    <x v="0"/>
    <x v="1"/>
    <n v="1"/>
    <x v="2"/>
  </r>
  <r>
    <n v="18494"/>
    <x v="0"/>
    <x v="1"/>
    <x v="15"/>
    <n v="5"/>
    <x v="0"/>
    <s v="Management"/>
    <s v="Yes"/>
    <x v="3"/>
    <x v="1"/>
    <x v="1"/>
    <n v="48"/>
    <x v="0"/>
    <x v="1"/>
    <n v="1"/>
    <x v="2"/>
  </r>
  <r>
    <n v="11249"/>
    <x v="0"/>
    <x v="0"/>
    <x v="12"/>
    <n v="3"/>
    <x v="1"/>
    <s v="Professional"/>
    <s v="Yes"/>
    <x v="4"/>
    <x v="0"/>
    <x v="0"/>
    <n v="51"/>
    <x v="0"/>
    <x v="1"/>
    <n v="1"/>
    <x v="2"/>
  </r>
  <r>
    <n v="21568"/>
    <x v="0"/>
    <x v="0"/>
    <x v="11"/>
    <n v="0"/>
    <x v="2"/>
    <s v="Management"/>
    <s v="Yes"/>
    <x v="3"/>
    <x v="4"/>
    <x v="1"/>
    <n v="34"/>
    <x v="0"/>
    <x v="1"/>
    <n v="1"/>
    <x v="2"/>
  </r>
  <r>
    <n v="13981"/>
    <x v="0"/>
    <x v="0"/>
    <x v="4"/>
    <n v="5"/>
    <x v="2"/>
    <s v="Skilled Manual"/>
    <s v="No"/>
    <x v="4"/>
    <x v="3"/>
    <x v="1"/>
    <n v="62"/>
    <x v="1"/>
    <x v="0"/>
    <n v="0"/>
    <x v="0"/>
  </r>
  <r>
    <n v="23432"/>
    <x v="1"/>
    <x v="1"/>
    <x v="3"/>
    <n v="0"/>
    <x v="0"/>
    <s v="Professional"/>
    <s v="Yes"/>
    <x v="1"/>
    <x v="2"/>
    <x v="1"/>
    <n v="37"/>
    <x v="0"/>
    <x v="1"/>
    <n v="1"/>
    <x v="1"/>
  </r>
  <r>
    <n v="22931"/>
    <x v="0"/>
    <x v="1"/>
    <x v="11"/>
    <n v="5"/>
    <x v="4"/>
    <s v="Management"/>
    <s v="No"/>
    <x v="1"/>
    <x v="3"/>
    <x v="1"/>
    <n v="78"/>
    <x v="1"/>
    <x v="1"/>
    <n v="1"/>
    <x v="2"/>
  </r>
  <r>
    <n v="18172"/>
    <x v="0"/>
    <x v="1"/>
    <x v="12"/>
    <n v="4"/>
    <x v="2"/>
    <s v="Professional"/>
    <s v="Yes"/>
    <x v="4"/>
    <x v="0"/>
    <x v="0"/>
    <n v="55"/>
    <x v="0"/>
    <x v="0"/>
    <n v="0"/>
    <x v="2"/>
  </r>
  <r>
    <n v="12666"/>
    <x v="1"/>
    <x v="1"/>
    <x v="10"/>
    <n v="0"/>
    <x v="0"/>
    <s v="Professional"/>
    <s v="No"/>
    <x v="3"/>
    <x v="1"/>
    <x v="1"/>
    <n v="31"/>
    <x v="0"/>
    <x v="0"/>
    <n v="0"/>
    <x v="3"/>
  </r>
  <r>
    <n v="20598"/>
    <x v="0"/>
    <x v="1"/>
    <x v="11"/>
    <n v="3"/>
    <x v="3"/>
    <s v="Professional"/>
    <s v="Yes"/>
    <x v="0"/>
    <x v="4"/>
    <x v="0"/>
    <n v="59"/>
    <x v="1"/>
    <x v="1"/>
    <n v="1"/>
    <x v="2"/>
  </r>
  <r>
    <n v="21375"/>
    <x v="1"/>
    <x v="1"/>
    <x v="6"/>
    <n v="2"/>
    <x v="3"/>
    <s v="Clerical"/>
    <s v="Yes"/>
    <x v="2"/>
    <x v="2"/>
    <x v="1"/>
    <n v="57"/>
    <x v="1"/>
    <x v="0"/>
    <n v="0"/>
    <x v="0"/>
  </r>
  <r>
    <n v="20839"/>
    <x v="1"/>
    <x v="0"/>
    <x v="1"/>
    <n v="3"/>
    <x v="4"/>
    <s v="Clerical"/>
    <s v="Yes"/>
    <x v="0"/>
    <x v="0"/>
    <x v="0"/>
    <n v="47"/>
    <x v="0"/>
    <x v="1"/>
    <n v="1"/>
    <x v="0"/>
  </r>
  <r>
    <n v="21738"/>
    <x v="0"/>
    <x v="1"/>
    <x v="6"/>
    <n v="1"/>
    <x v="4"/>
    <s v="Clerical"/>
    <s v="Yes"/>
    <x v="0"/>
    <x v="0"/>
    <x v="0"/>
    <n v="43"/>
    <x v="0"/>
    <x v="0"/>
    <n v="0"/>
    <x v="0"/>
  </r>
  <r>
    <n v="14164"/>
    <x v="1"/>
    <x v="0"/>
    <x v="14"/>
    <n v="0"/>
    <x v="4"/>
    <s v="Skilled Manual"/>
    <s v="Yes"/>
    <x v="0"/>
    <x v="0"/>
    <x v="0"/>
    <n v="36"/>
    <x v="0"/>
    <x v="1"/>
    <n v="1"/>
    <x v="3"/>
  </r>
  <r>
    <n v="14193"/>
    <x v="1"/>
    <x v="0"/>
    <x v="11"/>
    <n v="3"/>
    <x v="1"/>
    <s v="Management"/>
    <s v="Yes"/>
    <x v="3"/>
    <x v="4"/>
    <x v="0"/>
    <n v="56"/>
    <x v="1"/>
    <x v="0"/>
    <n v="0"/>
    <x v="2"/>
  </r>
  <r>
    <n v="12705"/>
    <x v="0"/>
    <x v="1"/>
    <x v="13"/>
    <n v="0"/>
    <x v="0"/>
    <s v="Management"/>
    <s v="Yes"/>
    <x v="3"/>
    <x v="0"/>
    <x v="1"/>
    <n v="37"/>
    <x v="0"/>
    <x v="1"/>
    <n v="1"/>
    <x v="2"/>
  </r>
  <r>
    <n v="22672"/>
    <x v="1"/>
    <x v="0"/>
    <x v="1"/>
    <n v="2"/>
    <x v="1"/>
    <s v="Clerical"/>
    <s v="Yes"/>
    <x v="0"/>
    <x v="0"/>
    <x v="0"/>
    <n v="43"/>
    <x v="0"/>
    <x v="0"/>
    <n v="0"/>
    <x v="0"/>
  </r>
  <r>
    <n v="26219"/>
    <x v="0"/>
    <x v="0"/>
    <x v="0"/>
    <n v="1"/>
    <x v="0"/>
    <s v="Skilled Manual"/>
    <s v="Yes"/>
    <x v="1"/>
    <x v="3"/>
    <x v="0"/>
    <n v="33"/>
    <x v="0"/>
    <x v="1"/>
    <n v="1"/>
    <x v="0"/>
  </r>
  <r>
    <n v="28468"/>
    <x v="0"/>
    <x v="0"/>
    <x v="4"/>
    <n v="2"/>
    <x v="1"/>
    <s v="Manual"/>
    <s v="Yes"/>
    <x v="0"/>
    <x v="3"/>
    <x v="0"/>
    <n v="51"/>
    <x v="0"/>
    <x v="0"/>
    <n v="0"/>
    <x v="0"/>
  </r>
  <r>
    <n v="23419"/>
    <x v="1"/>
    <x v="0"/>
    <x v="3"/>
    <n v="5"/>
    <x v="0"/>
    <s v="Professional"/>
    <s v="Yes"/>
    <x v="4"/>
    <x v="4"/>
    <x v="1"/>
    <n v="39"/>
    <x v="0"/>
    <x v="0"/>
    <n v="0"/>
    <x v="1"/>
  </r>
  <r>
    <n v="17964"/>
    <x v="0"/>
    <x v="1"/>
    <x v="0"/>
    <n v="0"/>
    <x v="4"/>
    <s v="Clerical"/>
    <s v="Yes"/>
    <x v="0"/>
    <x v="0"/>
    <x v="0"/>
    <n v="37"/>
    <x v="0"/>
    <x v="1"/>
    <n v="1"/>
    <x v="0"/>
  </r>
  <r>
    <n v="20919"/>
    <x v="1"/>
    <x v="0"/>
    <x v="1"/>
    <n v="2"/>
    <x v="1"/>
    <s v="Clerical"/>
    <s v="Yes"/>
    <x v="2"/>
    <x v="0"/>
    <x v="0"/>
    <n v="42"/>
    <x v="0"/>
    <x v="0"/>
    <n v="0"/>
    <x v="0"/>
  </r>
  <r>
    <n v="20927"/>
    <x v="1"/>
    <x v="0"/>
    <x v="6"/>
    <n v="5"/>
    <x v="2"/>
    <s v="Manual"/>
    <s v="Yes"/>
    <x v="2"/>
    <x v="0"/>
    <x v="0"/>
    <n v="27"/>
    <x v="2"/>
    <x v="0"/>
    <n v="0"/>
    <x v="0"/>
  </r>
  <r>
    <n v="13133"/>
    <x v="1"/>
    <x v="1"/>
    <x v="11"/>
    <n v="5"/>
    <x v="0"/>
    <s v="Professional"/>
    <s v="Yes"/>
    <x v="1"/>
    <x v="2"/>
    <x v="1"/>
    <n v="47"/>
    <x v="0"/>
    <x v="1"/>
    <n v="1"/>
    <x v="2"/>
  </r>
  <r>
    <n v="19626"/>
    <x v="0"/>
    <x v="1"/>
    <x v="3"/>
    <n v="5"/>
    <x v="1"/>
    <s v="Skilled Manual"/>
    <s v="Yes"/>
    <x v="4"/>
    <x v="2"/>
    <x v="1"/>
    <n v="45"/>
    <x v="0"/>
    <x v="0"/>
    <n v="0"/>
    <x v="1"/>
  </r>
  <r>
    <n v="21039"/>
    <x v="1"/>
    <x v="0"/>
    <x v="14"/>
    <n v="0"/>
    <x v="4"/>
    <s v="Skilled Manual"/>
    <s v="No"/>
    <x v="0"/>
    <x v="0"/>
    <x v="0"/>
    <n v="37"/>
    <x v="0"/>
    <x v="1"/>
    <n v="1"/>
    <x v="3"/>
  </r>
  <r>
    <n v="12231"/>
    <x v="1"/>
    <x v="0"/>
    <x v="4"/>
    <n v="2"/>
    <x v="1"/>
    <s v="Manual"/>
    <s v="Yes"/>
    <x v="0"/>
    <x v="0"/>
    <x v="0"/>
    <n v="51"/>
    <x v="0"/>
    <x v="1"/>
    <n v="1"/>
    <x v="0"/>
  </r>
  <r>
    <n v="25665"/>
    <x v="1"/>
    <x v="0"/>
    <x v="6"/>
    <n v="0"/>
    <x v="2"/>
    <s v="Manual"/>
    <s v="No"/>
    <x v="1"/>
    <x v="3"/>
    <x v="0"/>
    <n v="28"/>
    <x v="2"/>
    <x v="0"/>
    <n v="0"/>
    <x v="0"/>
  </r>
  <r>
    <n v="24061"/>
    <x v="0"/>
    <x v="1"/>
    <x v="4"/>
    <n v="4"/>
    <x v="3"/>
    <s v="Manual"/>
    <s v="Yes"/>
    <x v="1"/>
    <x v="0"/>
    <x v="0"/>
    <n v="40"/>
    <x v="0"/>
    <x v="1"/>
    <n v="1"/>
    <x v="0"/>
  </r>
  <r>
    <n v="26879"/>
    <x v="1"/>
    <x v="0"/>
    <x v="6"/>
    <n v="0"/>
    <x v="2"/>
    <s v="Manual"/>
    <s v="No"/>
    <x v="1"/>
    <x v="1"/>
    <x v="0"/>
    <n v="30"/>
    <x v="2"/>
    <x v="0"/>
    <n v="0"/>
    <x v="0"/>
  </r>
  <r>
    <n v="12284"/>
    <x v="0"/>
    <x v="0"/>
    <x v="1"/>
    <n v="0"/>
    <x v="0"/>
    <s v="Clerical"/>
    <s v="No"/>
    <x v="0"/>
    <x v="0"/>
    <x v="0"/>
    <n v="36"/>
    <x v="0"/>
    <x v="1"/>
    <n v="1"/>
    <x v="0"/>
  </r>
  <r>
    <n v="26654"/>
    <x v="0"/>
    <x v="0"/>
    <x v="8"/>
    <n v="1"/>
    <x v="4"/>
    <s v="Management"/>
    <s v="Yes"/>
    <x v="0"/>
    <x v="0"/>
    <x v="1"/>
    <n v="37"/>
    <x v="0"/>
    <x v="1"/>
    <n v="1"/>
    <x v="2"/>
  </r>
  <r>
    <n v="14545"/>
    <x v="0"/>
    <x v="0"/>
    <x v="4"/>
    <n v="2"/>
    <x v="1"/>
    <s v="Manual"/>
    <s v="Yes"/>
    <x v="0"/>
    <x v="3"/>
    <x v="0"/>
    <n v="49"/>
    <x v="0"/>
    <x v="0"/>
    <n v="0"/>
    <x v="0"/>
  </r>
  <r>
    <n v="24201"/>
    <x v="0"/>
    <x v="0"/>
    <x v="4"/>
    <n v="2"/>
    <x v="2"/>
    <s v="Manual"/>
    <s v="Yes"/>
    <x v="0"/>
    <x v="0"/>
    <x v="0"/>
    <n v="37"/>
    <x v="0"/>
    <x v="1"/>
    <n v="1"/>
    <x v="0"/>
  </r>
  <r>
    <n v="20625"/>
    <x v="0"/>
    <x v="1"/>
    <x v="11"/>
    <n v="0"/>
    <x v="2"/>
    <s v="Management"/>
    <s v="Yes"/>
    <x v="4"/>
    <x v="4"/>
    <x v="1"/>
    <n v="35"/>
    <x v="0"/>
    <x v="1"/>
    <n v="1"/>
    <x v="2"/>
  </r>
  <r>
    <n v="16390"/>
    <x v="1"/>
    <x v="1"/>
    <x v="1"/>
    <n v="1"/>
    <x v="0"/>
    <s v="Clerical"/>
    <s v="No"/>
    <x v="0"/>
    <x v="0"/>
    <x v="0"/>
    <n v="38"/>
    <x v="0"/>
    <x v="1"/>
    <n v="1"/>
    <x v="0"/>
  </r>
  <r>
    <n v="14804"/>
    <x v="1"/>
    <x v="0"/>
    <x v="4"/>
    <n v="3"/>
    <x v="3"/>
    <s v="Manual"/>
    <s v="Yes"/>
    <x v="2"/>
    <x v="0"/>
    <x v="0"/>
    <n v="43"/>
    <x v="0"/>
    <x v="0"/>
    <n v="0"/>
    <x v="0"/>
  </r>
  <r>
    <n v="12629"/>
    <x v="1"/>
    <x v="1"/>
    <x v="6"/>
    <n v="1"/>
    <x v="1"/>
    <s v="Manual"/>
    <s v="No"/>
    <x v="0"/>
    <x v="0"/>
    <x v="0"/>
    <n v="37"/>
    <x v="0"/>
    <x v="0"/>
    <n v="0"/>
    <x v="0"/>
  </r>
  <r>
    <n v="14696"/>
    <x v="1"/>
    <x v="1"/>
    <x v="4"/>
    <n v="0"/>
    <x v="3"/>
    <s v="Manual"/>
    <s v="No"/>
    <x v="2"/>
    <x v="0"/>
    <x v="0"/>
    <n v="34"/>
    <x v="0"/>
    <x v="0"/>
    <n v="0"/>
    <x v="0"/>
  </r>
  <r>
    <n v="22005"/>
    <x v="0"/>
    <x v="0"/>
    <x v="3"/>
    <n v="5"/>
    <x v="1"/>
    <s v="Skilled Manual"/>
    <s v="No"/>
    <x v="4"/>
    <x v="2"/>
    <x v="1"/>
    <n v="46"/>
    <x v="0"/>
    <x v="0"/>
    <n v="0"/>
    <x v="1"/>
  </r>
  <r>
    <n v="14544"/>
    <x v="1"/>
    <x v="1"/>
    <x v="4"/>
    <n v="1"/>
    <x v="1"/>
    <s v="Manual"/>
    <s v="Yes"/>
    <x v="0"/>
    <x v="0"/>
    <x v="0"/>
    <n v="49"/>
    <x v="0"/>
    <x v="0"/>
    <n v="0"/>
    <x v="0"/>
  </r>
  <r>
    <n v="14312"/>
    <x v="0"/>
    <x v="0"/>
    <x v="10"/>
    <n v="1"/>
    <x v="1"/>
    <s v="Skilled Manual"/>
    <s v="Yes"/>
    <x v="1"/>
    <x v="2"/>
    <x v="1"/>
    <n v="45"/>
    <x v="0"/>
    <x v="0"/>
    <n v="0"/>
    <x v="3"/>
  </r>
  <r>
    <n v="29120"/>
    <x v="1"/>
    <x v="0"/>
    <x v="11"/>
    <n v="1"/>
    <x v="0"/>
    <s v="Management"/>
    <s v="Yes"/>
    <x v="3"/>
    <x v="1"/>
    <x v="1"/>
    <n v="48"/>
    <x v="0"/>
    <x v="0"/>
    <n v="0"/>
    <x v="2"/>
  </r>
  <r>
    <n v="24187"/>
    <x v="1"/>
    <x v="0"/>
    <x v="1"/>
    <n v="3"/>
    <x v="4"/>
    <s v="Clerical"/>
    <s v="No"/>
    <x v="0"/>
    <x v="0"/>
    <x v="0"/>
    <n v="46"/>
    <x v="0"/>
    <x v="1"/>
    <n v="1"/>
    <x v="0"/>
  </r>
  <r>
    <n v="15758"/>
    <x v="0"/>
    <x v="1"/>
    <x v="12"/>
    <n v="0"/>
    <x v="4"/>
    <s v="Management"/>
    <s v="Yes"/>
    <x v="0"/>
    <x v="2"/>
    <x v="1"/>
    <n v="48"/>
    <x v="0"/>
    <x v="0"/>
    <n v="0"/>
    <x v="2"/>
  </r>
  <r>
    <n v="29094"/>
    <x v="0"/>
    <x v="1"/>
    <x v="1"/>
    <n v="3"/>
    <x v="2"/>
    <s v="Skilled Manual"/>
    <s v="Yes"/>
    <x v="2"/>
    <x v="2"/>
    <x v="1"/>
    <n v="54"/>
    <x v="0"/>
    <x v="1"/>
    <n v="1"/>
    <x v="0"/>
  </r>
  <r>
    <n v="28319"/>
    <x v="1"/>
    <x v="0"/>
    <x v="10"/>
    <n v="1"/>
    <x v="1"/>
    <s v="Skilled Manual"/>
    <s v="No"/>
    <x v="1"/>
    <x v="0"/>
    <x v="1"/>
    <n v="46"/>
    <x v="0"/>
    <x v="1"/>
    <n v="1"/>
    <x v="3"/>
  </r>
  <r>
    <n v="16406"/>
    <x v="0"/>
    <x v="1"/>
    <x v="0"/>
    <n v="0"/>
    <x v="0"/>
    <s v="Clerical"/>
    <s v="No"/>
    <x v="0"/>
    <x v="0"/>
    <x v="0"/>
    <n v="38"/>
    <x v="0"/>
    <x v="1"/>
    <n v="1"/>
    <x v="0"/>
  </r>
  <r>
    <n v="20923"/>
    <x v="0"/>
    <x v="0"/>
    <x v="0"/>
    <n v="1"/>
    <x v="0"/>
    <s v="Skilled Manual"/>
    <s v="Yes"/>
    <x v="0"/>
    <x v="0"/>
    <x v="0"/>
    <n v="42"/>
    <x v="0"/>
    <x v="1"/>
    <n v="1"/>
    <x v="0"/>
  </r>
  <r>
    <n v="11378"/>
    <x v="1"/>
    <x v="0"/>
    <x v="4"/>
    <n v="1"/>
    <x v="2"/>
    <s v="Manual"/>
    <s v="No"/>
    <x v="1"/>
    <x v="1"/>
    <x v="0"/>
    <n v="46"/>
    <x v="0"/>
    <x v="1"/>
    <n v="1"/>
    <x v="0"/>
  </r>
  <r>
    <n v="20851"/>
    <x v="1"/>
    <x v="1"/>
    <x v="6"/>
    <n v="0"/>
    <x v="1"/>
    <s v="Manual"/>
    <s v="No"/>
    <x v="1"/>
    <x v="1"/>
    <x v="0"/>
    <n v="36"/>
    <x v="0"/>
    <x v="1"/>
    <n v="1"/>
    <x v="0"/>
  </r>
  <r>
    <n v="21557"/>
    <x v="1"/>
    <x v="0"/>
    <x v="15"/>
    <n v="0"/>
    <x v="1"/>
    <s v="Management"/>
    <s v="Yes"/>
    <x v="4"/>
    <x v="4"/>
    <x v="1"/>
    <n v="32"/>
    <x v="0"/>
    <x v="1"/>
    <n v="1"/>
    <x v="2"/>
  </r>
  <r>
    <n v="26663"/>
    <x v="1"/>
    <x v="0"/>
    <x v="10"/>
    <n v="2"/>
    <x v="0"/>
    <s v="Professional"/>
    <s v="No"/>
    <x v="1"/>
    <x v="0"/>
    <x v="1"/>
    <n v="39"/>
    <x v="0"/>
    <x v="1"/>
    <n v="1"/>
    <x v="3"/>
  </r>
  <r>
    <n v="11896"/>
    <x v="0"/>
    <x v="1"/>
    <x v="11"/>
    <n v="1"/>
    <x v="4"/>
    <s v="Management"/>
    <s v="Yes"/>
    <x v="0"/>
    <x v="1"/>
    <x v="1"/>
    <n v="36"/>
    <x v="0"/>
    <x v="1"/>
    <n v="1"/>
    <x v="2"/>
  </r>
  <r>
    <n v="14189"/>
    <x v="0"/>
    <x v="0"/>
    <x v="8"/>
    <n v="4"/>
    <x v="2"/>
    <s v="Professional"/>
    <s v="No"/>
    <x v="2"/>
    <x v="1"/>
    <x v="0"/>
    <n v="54"/>
    <x v="0"/>
    <x v="1"/>
    <n v="1"/>
    <x v="2"/>
  </r>
  <r>
    <n v="13136"/>
    <x v="0"/>
    <x v="0"/>
    <x v="1"/>
    <n v="2"/>
    <x v="1"/>
    <s v="Clerical"/>
    <s v="No"/>
    <x v="2"/>
    <x v="2"/>
    <x v="1"/>
    <n v="69"/>
    <x v="1"/>
    <x v="0"/>
    <n v="0"/>
    <x v="0"/>
  </r>
  <r>
    <n v="25906"/>
    <x v="1"/>
    <x v="0"/>
    <x v="4"/>
    <n v="5"/>
    <x v="2"/>
    <s v="Skilled Manual"/>
    <s v="No"/>
    <x v="2"/>
    <x v="3"/>
    <x v="1"/>
    <n v="62"/>
    <x v="1"/>
    <x v="0"/>
    <n v="0"/>
    <x v="0"/>
  </r>
  <r>
    <n v="17926"/>
    <x v="1"/>
    <x v="0"/>
    <x v="0"/>
    <n v="0"/>
    <x v="0"/>
    <s v="Clerical"/>
    <s v="No"/>
    <x v="0"/>
    <x v="0"/>
    <x v="1"/>
    <n v="28"/>
    <x v="2"/>
    <x v="1"/>
    <n v="1"/>
    <x v="0"/>
  </r>
  <r>
    <n v="26928"/>
    <x v="1"/>
    <x v="1"/>
    <x v="1"/>
    <n v="1"/>
    <x v="0"/>
    <s v="Clerical"/>
    <s v="Yes"/>
    <x v="0"/>
    <x v="0"/>
    <x v="0"/>
    <n v="62"/>
    <x v="1"/>
    <x v="1"/>
    <n v="1"/>
    <x v="0"/>
  </r>
  <r>
    <n v="20897"/>
    <x v="0"/>
    <x v="0"/>
    <x v="1"/>
    <n v="1"/>
    <x v="0"/>
    <s v="Skilled Manual"/>
    <s v="Yes"/>
    <x v="2"/>
    <x v="0"/>
    <x v="0"/>
    <n v="40"/>
    <x v="0"/>
    <x v="0"/>
    <n v="0"/>
    <x v="0"/>
  </r>
  <r>
    <n v="28207"/>
    <x v="0"/>
    <x v="1"/>
    <x v="2"/>
    <n v="4"/>
    <x v="4"/>
    <s v="Management"/>
    <s v="Yes"/>
    <x v="1"/>
    <x v="0"/>
    <x v="1"/>
    <n v="36"/>
    <x v="0"/>
    <x v="1"/>
    <n v="1"/>
    <x v="1"/>
  </r>
  <r>
    <n v="25923"/>
    <x v="1"/>
    <x v="1"/>
    <x v="4"/>
    <n v="2"/>
    <x v="3"/>
    <s v="Clerical"/>
    <s v="Yes"/>
    <x v="2"/>
    <x v="2"/>
    <x v="1"/>
    <n v="58"/>
    <x v="1"/>
    <x v="0"/>
    <n v="0"/>
    <x v="0"/>
  </r>
  <r>
    <n v="11000"/>
    <x v="0"/>
    <x v="1"/>
    <x v="8"/>
    <n v="2"/>
    <x v="0"/>
    <s v="Professional"/>
    <s v="Yes"/>
    <x v="0"/>
    <x v="3"/>
    <x v="1"/>
    <n v="40"/>
    <x v="0"/>
    <x v="1"/>
    <n v="1"/>
    <x v="2"/>
  </r>
  <r>
    <n v="20974"/>
    <x v="0"/>
    <x v="1"/>
    <x v="4"/>
    <n v="2"/>
    <x v="0"/>
    <s v="Clerical"/>
    <s v="Yes"/>
    <x v="1"/>
    <x v="0"/>
    <x v="0"/>
    <n v="66"/>
    <x v="1"/>
    <x v="0"/>
    <n v="0"/>
    <x v="0"/>
  </r>
  <r>
    <n v="28758"/>
    <x v="0"/>
    <x v="1"/>
    <x v="0"/>
    <n v="2"/>
    <x v="1"/>
    <s v="Clerical"/>
    <s v="Yes"/>
    <x v="1"/>
    <x v="3"/>
    <x v="0"/>
    <n v="35"/>
    <x v="0"/>
    <x v="1"/>
    <n v="1"/>
    <x v="0"/>
  </r>
  <r>
    <n v="11381"/>
    <x v="0"/>
    <x v="0"/>
    <x v="6"/>
    <n v="2"/>
    <x v="1"/>
    <s v="Manual"/>
    <s v="Yes"/>
    <x v="1"/>
    <x v="1"/>
    <x v="0"/>
    <n v="47"/>
    <x v="0"/>
    <x v="1"/>
    <n v="1"/>
    <x v="0"/>
  </r>
  <r>
    <n v="17522"/>
    <x v="0"/>
    <x v="1"/>
    <x v="7"/>
    <n v="4"/>
    <x v="0"/>
    <s v="Management"/>
    <s v="Yes"/>
    <x v="1"/>
    <x v="1"/>
    <x v="1"/>
    <n v="47"/>
    <x v="0"/>
    <x v="0"/>
    <n v="0"/>
    <x v="2"/>
  </r>
  <r>
    <n v="21207"/>
    <x v="0"/>
    <x v="1"/>
    <x v="10"/>
    <n v="1"/>
    <x v="1"/>
    <s v="Skilled Manual"/>
    <s v="Yes"/>
    <x v="1"/>
    <x v="2"/>
    <x v="1"/>
    <n v="46"/>
    <x v="0"/>
    <x v="0"/>
    <n v="0"/>
    <x v="3"/>
  </r>
  <r>
    <n v="28102"/>
    <x v="0"/>
    <x v="1"/>
    <x v="6"/>
    <n v="4"/>
    <x v="2"/>
    <s v="Skilled Manual"/>
    <s v="Yes"/>
    <x v="2"/>
    <x v="2"/>
    <x v="1"/>
    <n v="58"/>
    <x v="1"/>
    <x v="1"/>
    <n v="1"/>
    <x v="0"/>
  </r>
  <r>
    <n v="23105"/>
    <x v="1"/>
    <x v="1"/>
    <x v="0"/>
    <n v="3"/>
    <x v="3"/>
    <s v="Clerical"/>
    <s v="No"/>
    <x v="2"/>
    <x v="2"/>
    <x v="1"/>
    <n v="52"/>
    <x v="0"/>
    <x v="1"/>
    <n v="1"/>
    <x v="0"/>
  </r>
  <r>
    <n v="18740"/>
    <x v="0"/>
    <x v="1"/>
    <x v="2"/>
    <n v="5"/>
    <x v="0"/>
    <s v="Professional"/>
    <s v="No"/>
    <x v="1"/>
    <x v="0"/>
    <x v="1"/>
    <n v="47"/>
    <x v="0"/>
    <x v="1"/>
    <n v="1"/>
    <x v="1"/>
  </r>
  <r>
    <n v="21213"/>
    <x v="1"/>
    <x v="1"/>
    <x v="3"/>
    <n v="0"/>
    <x v="0"/>
    <s v="Professional"/>
    <s v="No"/>
    <x v="1"/>
    <x v="2"/>
    <x v="1"/>
    <n v="41"/>
    <x v="0"/>
    <x v="0"/>
    <n v="0"/>
    <x v="1"/>
  </r>
  <r>
    <n v="17352"/>
    <x v="0"/>
    <x v="1"/>
    <x v="14"/>
    <n v="2"/>
    <x v="4"/>
    <s v="Management"/>
    <s v="Yes"/>
    <x v="1"/>
    <x v="2"/>
    <x v="1"/>
    <n v="64"/>
    <x v="1"/>
    <x v="1"/>
    <n v="1"/>
    <x v="3"/>
  </r>
  <r>
    <n v="14154"/>
    <x v="0"/>
    <x v="1"/>
    <x v="1"/>
    <n v="0"/>
    <x v="0"/>
    <s v="Clerical"/>
    <s v="Yes"/>
    <x v="0"/>
    <x v="0"/>
    <x v="0"/>
    <n v="35"/>
    <x v="0"/>
    <x v="1"/>
    <n v="1"/>
    <x v="0"/>
  </r>
  <r>
    <n v="19066"/>
    <x v="0"/>
    <x v="1"/>
    <x v="12"/>
    <n v="4"/>
    <x v="1"/>
    <s v="Professional"/>
    <s v="No"/>
    <x v="4"/>
    <x v="4"/>
    <x v="0"/>
    <n v="54"/>
    <x v="0"/>
    <x v="0"/>
    <n v="0"/>
    <x v="2"/>
  </r>
  <r>
    <n v="11386"/>
    <x v="0"/>
    <x v="0"/>
    <x v="1"/>
    <n v="3"/>
    <x v="0"/>
    <s v="Clerical"/>
    <s v="Yes"/>
    <x v="0"/>
    <x v="0"/>
    <x v="0"/>
    <n v="45"/>
    <x v="0"/>
    <x v="0"/>
    <n v="0"/>
    <x v="0"/>
  </r>
  <r>
    <n v="20228"/>
    <x v="0"/>
    <x v="1"/>
    <x v="11"/>
    <n v="0"/>
    <x v="4"/>
    <s v="Management"/>
    <s v="Yes"/>
    <x v="0"/>
    <x v="1"/>
    <x v="1"/>
    <n v="40"/>
    <x v="0"/>
    <x v="1"/>
    <n v="1"/>
    <x v="2"/>
  </r>
  <r>
    <n v="16675"/>
    <x v="1"/>
    <x v="0"/>
    <x v="5"/>
    <n v="0"/>
    <x v="4"/>
    <s v="Management"/>
    <s v="No"/>
    <x v="4"/>
    <x v="0"/>
    <x v="1"/>
    <n v="47"/>
    <x v="0"/>
    <x v="1"/>
    <n v="1"/>
    <x v="2"/>
  </r>
  <r>
    <n v="16410"/>
    <x v="1"/>
    <x v="0"/>
    <x v="4"/>
    <n v="4"/>
    <x v="3"/>
    <s v="Manual"/>
    <s v="Yes"/>
    <x v="2"/>
    <x v="0"/>
    <x v="0"/>
    <n v="41"/>
    <x v="0"/>
    <x v="1"/>
    <n v="1"/>
    <x v="0"/>
  </r>
  <r>
    <n v="27760"/>
    <x v="1"/>
    <x v="0"/>
    <x v="0"/>
    <n v="0"/>
    <x v="4"/>
    <s v="Clerical"/>
    <s v="No"/>
    <x v="0"/>
    <x v="0"/>
    <x v="0"/>
    <n v="37"/>
    <x v="0"/>
    <x v="1"/>
    <n v="1"/>
    <x v="0"/>
  </r>
  <r>
    <n v="22930"/>
    <x v="0"/>
    <x v="1"/>
    <x v="8"/>
    <n v="4"/>
    <x v="0"/>
    <s v="Professional"/>
    <s v="Yes"/>
    <x v="0"/>
    <x v="3"/>
    <x v="1"/>
    <n v="38"/>
    <x v="0"/>
    <x v="1"/>
    <n v="1"/>
    <x v="2"/>
  </r>
  <r>
    <n v="23780"/>
    <x v="1"/>
    <x v="1"/>
    <x v="0"/>
    <n v="2"/>
    <x v="1"/>
    <s v="Clerical"/>
    <s v="No"/>
    <x v="2"/>
    <x v="0"/>
    <x v="0"/>
    <n v="36"/>
    <x v="0"/>
    <x v="1"/>
    <n v="1"/>
    <x v="0"/>
  </r>
  <r>
    <n v="20994"/>
    <x v="0"/>
    <x v="0"/>
    <x v="6"/>
    <n v="0"/>
    <x v="0"/>
    <s v="Clerical"/>
    <s v="No"/>
    <x v="0"/>
    <x v="0"/>
    <x v="1"/>
    <n v="26"/>
    <x v="2"/>
    <x v="1"/>
    <n v="1"/>
    <x v="0"/>
  </r>
  <r>
    <n v="28379"/>
    <x v="0"/>
    <x v="1"/>
    <x v="1"/>
    <n v="1"/>
    <x v="0"/>
    <s v="Skilled Manual"/>
    <s v="Yes"/>
    <x v="2"/>
    <x v="0"/>
    <x v="0"/>
    <n v="40"/>
    <x v="0"/>
    <x v="0"/>
    <n v="0"/>
    <x v="0"/>
  </r>
  <r>
    <n v="14865"/>
    <x v="1"/>
    <x v="1"/>
    <x v="0"/>
    <n v="2"/>
    <x v="1"/>
    <s v="Clerical"/>
    <s v="Yes"/>
    <x v="2"/>
    <x v="3"/>
    <x v="0"/>
    <n v="36"/>
    <x v="0"/>
    <x v="0"/>
    <n v="0"/>
    <x v="0"/>
  </r>
  <r>
    <n v="12663"/>
    <x v="0"/>
    <x v="0"/>
    <x v="8"/>
    <n v="5"/>
    <x v="3"/>
    <s v="Skilled Manual"/>
    <s v="Yes"/>
    <x v="2"/>
    <x v="4"/>
    <x v="0"/>
    <n v="59"/>
    <x v="1"/>
    <x v="0"/>
    <n v="0"/>
    <x v="2"/>
  </r>
  <r>
    <n v="24898"/>
    <x v="1"/>
    <x v="0"/>
    <x v="2"/>
    <n v="0"/>
    <x v="0"/>
    <s v="Professional"/>
    <s v="Yes"/>
    <x v="4"/>
    <x v="4"/>
    <x v="1"/>
    <n v="32"/>
    <x v="0"/>
    <x v="0"/>
    <n v="0"/>
    <x v="1"/>
  </r>
  <r>
    <n v="19508"/>
    <x v="0"/>
    <x v="1"/>
    <x v="4"/>
    <n v="0"/>
    <x v="3"/>
    <s v="Manual"/>
    <s v="No"/>
    <x v="2"/>
    <x v="0"/>
    <x v="0"/>
    <n v="30"/>
    <x v="2"/>
    <x v="0"/>
    <n v="0"/>
    <x v="0"/>
  </r>
  <r>
    <n v="11489"/>
    <x v="1"/>
    <x v="0"/>
    <x v="6"/>
    <n v="0"/>
    <x v="3"/>
    <s v="Manual"/>
    <s v="No"/>
    <x v="2"/>
    <x v="3"/>
    <x v="0"/>
    <n v="35"/>
    <x v="0"/>
    <x v="1"/>
    <n v="1"/>
    <x v="0"/>
  </r>
  <r>
    <n v="18160"/>
    <x v="0"/>
    <x v="1"/>
    <x v="12"/>
    <n v="3"/>
    <x v="2"/>
    <s v="Professional"/>
    <s v="Yes"/>
    <x v="3"/>
    <x v="2"/>
    <x v="0"/>
    <n v="51"/>
    <x v="0"/>
    <x v="1"/>
    <n v="1"/>
    <x v="2"/>
  </r>
  <r>
    <n v="25241"/>
    <x v="0"/>
    <x v="1"/>
    <x v="8"/>
    <n v="2"/>
    <x v="0"/>
    <s v="Professional"/>
    <s v="Yes"/>
    <x v="1"/>
    <x v="2"/>
    <x v="1"/>
    <n v="47"/>
    <x v="0"/>
    <x v="0"/>
    <n v="0"/>
    <x v="2"/>
  </r>
  <r>
    <n v="24369"/>
    <x v="0"/>
    <x v="1"/>
    <x v="2"/>
    <n v="5"/>
    <x v="4"/>
    <s v="Management"/>
    <s v="No"/>
    <x v="2"/>
    <x v="0"/>
    <x v="1"/>
    <n v="39"/>
    <x v="0"/>
    <x v="0"/>
    <n v="0"/>
    <x v="1"/>
  </r>
  <r>
    <n v="27165"/>
    <x v="1"/>
    <x v="1"/>
    <x v="6"/>
    <n v="0"/>
    <x v="3"/>
    <s v="Manual"/>
    <s v="No"/>
    <x v="2"/>
    <x v="0"/>
    <x v="0"/>
    <n v="34"/>
    <x v="0"/>
    <x v="0"/>
    <n v="0"/>
    <x v="0"/>
  </r>
  <r>
    <n v="29424"/>
    <x v="0"/>
    <x v="1"/>
    <x v="4"/>
    <n v="0"/>
    <x v="3"/>
    <s v="Manual"/>
    <s v="Yes"/>
    <x v="2"/>
    <x v="0"/>
    <x v="0"/>
    <n v="32"/>
    <x v="0"/>
    <x v="0"/>
    <n v="0"/>
    <x v="0"/>
  </r>
  <r>
    <n v="15926"/>
    <x v="1"/>
    <x v="0"/>
    <x v="7"/>
    <n v="3"/>
    <x v="2"/>
    <s v="Professional"/>
    <s v="Yes"/>
    <x v="3"/>
    <x v="2"/>
    <x v="0"/>
    <n v="50"/>
    <x v="0"/>
    <x v="1"/>
    <n v="1"/>
    <x v="2"/>
  </r>
  <r>
    <n v="14554"/>
    <x v="0"/>
    <x v="1"/>
    <x v="6"/>
    <n v="1"/>
    <x v="0"/>
    <s v="Clerical"/>
    <s v="Yes"/>
    <x v="0"/>
    <x v="0"/>
    <x v="0"/>
    <n v="66"/>
    <x v="1"/>
    <x v="0"/>
    <n v="0"/>
    <x v="0"/>
  </r>
  <r>
    <n v="16468"/>
    <x v="1"/>
    <x v="1"/>
    <x v="1"/>
    <n v="0"/>
    <x v="1"/>
    <s v="Clerical"/>
    <s v="Yes"/>
    <x v="1"/>
    <x v="1"/>
    <x v="0"/>
    <n v="30"/>
    <x v="2"/>
    <x v="0"/>
    <n v="0"/>
    <x v="0"/>
  </r>
  <r>
    <n v="19174"/>
    <x v="1"/>
    <x v="0"/>
    <x v="1"/>
    <n v="0"/>
    <x v="2"/>
    <s v="Manual"/>
    <s v="No"/>
    <x v="1"/>
    <x v="1"/>
    <x v="0"/>
    <n v="32"/>
    <x v="0"/>
    <x v="1"/>
    <n v="1"/>
    <x v="0"/>
  </r>
  <r>
    <n v="19183"/>
    <x v="1"/>
    <x v="1"/>
    <x v="4"/>
    <n v="0"/>
    <x v="3"/>
    <s v="Manual"/>
    <s v="Yes"/>
    <x v="2"/>
    <x v="3"/>
    <x v="0"/>
    <n v="35"/>
    <x v="0"/>
    <x v="0"/>
    <n v="0"/>
    <x v="0"/>
  </r>
  <r>
    <n v="13683"/>
    <x v="1"/>
    <x v="0"/>
    <x v="1"/>
    <n v="0"/>
    <x v="2"/>
    <s v="Manual"/>
    <s v="No"/>
    <x v="1"/>
    <x v="1"/>
    <x v="0"/>
    <n v="32"/>
    <x v="0"/>
    <x v="0"/>
    <n v="0"/>
    <x v="0"/>
  </r>
  <r>
    <n v="17848"/>
    <x v="1"/>
    <x v="1"/>
    <x v="1"/>
    <n v="0"/>
    <x v="1"/>
    <s v="Clerical"/>
    <s v="No"/>
    <x v="1"/>
    <x v="1"/>
    <x v="0"/>
    <n v="31"/>
    <x v="0"/>
    <x v="1"/>
    <n v="1"/>
    <x v="0"/>
  </r>
  <r>
    <n v="17894"/>
    <x v="0"/>
    <x v="0"/>
    <x v="6"/>
    <n v="1"/>
    <x v="0"/>
    <s v="Clerical"/>
    <s v="Yes"/>
    <x v="0"/>
    <x v="0"/>
    <x v="0"/>
    <n v="50"/>
    <x v="0"/>
    <x v="1"/>
    <n v="1"/>
    <x v="0"/>
  </r>
  <r>
    <n v="25651"/>
    <x v="0"/>
    <x v="1"/>
    <x v="0"/>
    <n v="1"/>
    <x v="0"/>
    <s v="Skilled Manual"/>
    <s v="No"/>
    <x v="0"/>
    <x v="0"/>
    <x v="0"/>
    <n v="43"/>
    <x v="0"/>
    <x v="1"/>
    <n v="1"/>
    <x v="0"/>
  </r>
  <r>
    <n v="22936"/>
    <x v="1"/>
    <x v="0"/>
    <x v="10"/>
    <n v="1"/>
    <x v="1"/>
    <s v="Skilled Manual"/>
    <s v="No"/>
    <x v="1"/>
    <x v="0"/>
    <x v="1"/>
    <n v="45"/>
    <x v="0"/>
    <x v="1"/>
    <n v="1"/>
    <x v="3"/>
  </r>
  <r>
    <n v="23915"/>
    <x v="0"/>
    <x v="1"/>
    <x v="6"/>
    <n v="2"/>
    <x v="2"/>
    <s v="Manual"/>
    <s v="Yes"/>
    <x v="2"/>
    <x v="0"/>
    <x v="0"/>
    <n v="42"/>
    <x v="0"/>
    <x v="0"/>
    <n v="0"/>
    <x v="0"/>
  </r>
  <r>
    <n v="24121"/>
    <x v="1"/>
    <x v="0"/>
    <x v="1"/>
    <n v="0"/>
    <x v="1"/>
    <s v="Clerical"/>
    <s v="No"/>
    <x v="1"/>
    <x v="0"/>
    <x v="0"/>
    <n v="29"/>
    <x v="2"/>
    <x v="1"/>
    <n v="1"/>
    <x v="0"/>
  </r>
  <r>
    <n v="27878"/>
    <x v="1"/>
    <x v="1"/>
    <x v="6"/>
    <n v="0"/>
    <x v="1"/>
    <s v="Manual"/>
    <s v="No"/>
    <x v="0"/>
    <x v="0"/>
    <x v="1"/>
    <n v="28"/>
    <x v="2"/>
    <x v="1"/>
    <n v="1"/>
    <x v="0"/>
  </r>
  <r>
    <n v="13572"/>
    <x v="1"/>
    <x v="1"/>
    <x v="4"/>
    <n v="3"/>
    <x v="2"/>
    <s v="Manual"/>
    <s v="Yes"/>
    <x v="0"/>
    <x v="0"/>
    <x v="0"/>
    <n v="37"/>
    <x v="0"/>
    <x v="1"/>
    <n v="1"/>
    <x v="0"/>
  </r>
  <r>
    <n v="27941"/>
    <x v="0"/>
    <x v="0"/>
    <x v="2"/>
    <n v="4"/>
    <x v="1"/>
    <s v="Professional"/>
    <s v="Yes"/>
    <x v="2"/>
    <x v="1"/>
    <x v="0"/>
    <n v="53"/>
    <x v="0"/>
    <x v="0"/>
    <n v="0"/>
    <x v="1"/>
  </r>
  <r>
    <n v="26354"/>
    <x v="1"/>
    <x v="1"/>
    <x v="0"/>
    <n v="0"/>
    <x v="4"/>
    <s v="Clerical"/>
    <s v="No"/>
    <x v="0"/>
    <x v="0"/>
    <x v="0"/>
    <n v="38"/>
    <x v="0"/>
    <x v="1"/>
    <n v="1"/>
    <x v="0"/>
  </r>
  <r>
    <n v="14785"/>
    <x v="1"/>
    <x v="1"/>
    <x v="1"/>
    <n v="1"/>
    <x v="0"/>
    <s v="Clerical"/>
    <s v="No"/>
    <x v="1"/>
    <x v="3"/>
    <x v="0"/>
    <n v="39"/>
    <x v="0"/>
    <x v="0"/>
    <n v="0"/>
    <x v="0"/>
  </r>
  <r>
    <n v="17238"/>
    <x v="1"/>
    <x v="1"/>
    <x v="2"/>
    <n v="0"/>
    <x v="0"/>
    <s v="Professional"/>
    <s v="Yes"/>
    <x v="4"/>
    <x v="4"/>
    <x v="1"/>
    <n v="32"/>
    <x v="0"/>
    <x v="0"/>
    <n v="0"/>
    <x v="1"/>
  </r>
  <r>
    <n v="23608"/>
    <x v="0"/>
    <x v="0"/>
    <x v="13"/>
    <n v="3"/>
    <x v="2"/>
    <s v="Professional"/>
    <s v="Yes"/>
    <x v="4"/>
    <x v="0"/>
    <x v="0"/>
    <n v="51"/>
    <x v="0"/>
    <x v="1"/>
    <n v="1"/>
    <x v="2"/>
  </r>
  <r>
    <n v="22538"/>
    <x v="1"/>
    <x v="0"/>
    <x v="4"/>
    <n v="0"/>
    <x v="3"/>
    <s v="Manual"/>
    <s v="Yes"/>
    <x v="2"/>
    <x v="3"/>
    <x v="0"/>
    <n v="33"/>
    <x v="0"/>
    <x v="0"/>
    <n v="0"/>
    <x v="0"/>
  </r>
  <r>
    <n v="12332"/>
    <x v="0"/>
    <x v="1"/>
    <x v="8"/>
    <n v="4"/>
    <x v="2"/>
    <s v="Management"/>
    <s v="Yes"/>
    <x v="4"/>
    <x v="2"/>
    <x v="0"/>
    <n v="58"/>
    <x v="1"/>
    <x v="1"/>
    <n v="1"/>
    <x v="2"/>
  </r>
  <r>
    <n v="17230"/>
    <x v="0"/>
    <x v="1"/>
    <x v="2"/>
    <n v="0"/>
    <x v="0"/>
    <s v="Professional"/>
    <s v="Yes"/>
    <x v="4"/>
    <x v="4"/>
    <x v="1"/>
    <n v="30"/>
    <x v="2"/>
    <x v="0"/>
    <n v="0"/>
    <x v="1"/>
  </r>
  <r>
    <n v="13082"/>
    <x v="1"/>
    <x v="1"/>
    <x v="12"/>
    <n v="0"/>
    <x v="4"/>
    <s v="Management"/>
    <s v="Yes"/>
    <x v="0"/>
    <x v="1"/>
    <x v="1"/>
    <n v="48"/>
    <x v="0"/>
    <x v="1"/>
    <n v="1"/>
    <x v="2"/>
  </r>
  <r>
    <n v="22518"/>
    <x v="1"/>
    <x v="0"/>
    <x v="1"/>
    <n v="3"/>
    <x v="1"/>
    <s v="Clerical"/>
    <s v="No"/>
    <x v="2"/>
    <x v="0"/>
    <x v="0"/>
    <n v="27"/>
    <x v="2"/>
    <x v="1"/>
    <n v="1"/>
    <x v="0"/>
  </r>
  <r>
    <n v="13687"/>
    <x v="0"/>
    <x v="1"/>
    <x v="0"/>
    <n v="1"/>
    <x v="0"/>
    <s v="Skilled Manual"/>
    <s v="Yes"/>
    <x v="1"/>
    <x v="0"/>
    <x v="0"/>
    <n v="33"/>
    <x v="0"/>
    <x v="1"/>
    <n v="1"/>
    <x v="0"/>
  </r>
  <r>
    <n v="23571"/>
    <x v="0"/>
    <x v="0"/>
    <x v="0"/>
    <n v="2"/>
    <x v="0"/>
    <s v="Management"/>
    <s v="Yes"/>
    <x v="2"/>
    <x v="0"/>
    <x v="1"/>
    <n v="66"/>
    <x v="1"/>
    <x v="1"/>
    <n v="1"/>
    <x v="0"/>
  </r>
  <r>
    <n v="19305"/>
    <x v="1"/>
    <x v="0"/>
    <x v="4"/>
    <n v="2"/>
    <x v="2"/>
    <s v="Manual"/>
    <s v="Yes"/>
    <x v="1"/>
    <x v="0"/>
    <x v="0"/>
    <n v="38"/>
    <x v="0"/>
    <x v="1"/>
    <n v="1"/>
    <x v="0"/>
  </r>
  <r>
    <n v="22636"/>
    <x v="1"/>
    <x v="0"/>
    <x v="0"/>
    <n v="0"/>
    <x v="0"/>
    <s v="Clerical"/>
    <s v="No"/>
    <x v="0"/>
    <x v="0"/>
    <x v="0"/>
    <n v="38"/>
    <x v="0"/>
    <x v="1"/>
    <n v="1"/>
    <x v="0"/>
  </r>
  <r>
    <n v="17310"/>
    <x v="0"/>
    <x v="1"/>
    <x v="10"/>
    <n v="1"/>
    <x v="1"/>
    <s v="Skilled Manual"/>
    <s v="Yes"/>
    <x v="1"/>
    <x v="0"/>
    <x v="1"/>
    <n v="45"/>
    <x v="0"/>
    <x v="1"/>
    <n v="1"/>
    <x v="3"/>
  </r>
  <r>
    <n v="12133"/>
    <x v="0"/>
    <x v="0"/>
    <x v="12"/>
    <n v="3"/>
    <x v="1"/>
    <s v="Professional"/>
    <s v="Yes"/>
    <x v="4"/>
    <x v="2"/>
    <x v="0"/>
    <n v="50"/>
    <x v="0"/>
    <x v="1"/>
    <n v="1"/>
    <x v="2"/>
  </r>
  <r>
    <n v="25918"/>
    <x v="1"/>
    <x v="0"/>
    <x v="1"/>
    <n v="2"/>
    <x v="1"/>
    <s v="Clerical"/>
    <s v="No"/>
    <x v="2"/>
    <x v="2"/>
    <x v="1"/>
    <n v="60"/>
    <x v="1"/>
    <x v="1"/>
    <n v="1"/>
    <x v="0"/>
  </r>
  <r>
    <n v="25752"/>
    <x v="1"/>
    <x v="0"/>
    <x v="6"/>
    <n v="2"/>
    <x v="1"/>
    <s v="Manual"/>
    <s v="No"/>
    <x v="1"/>
    <x v="0"/>
    <x v="0"/>
    <n v="53"/>
    <x v="0"/>
    <x v="1"/>
    <n v="1"/>
    <x v="0"/>
  </r>
  <r>
    <n v="17324"/>
    <x v="0"/>
    <x v="0"/>
    <x v="11"/>
    <n v="4"/>
    <x v="0"/>
    <s v="Professional"/>
    <s v="Yes"/>
    <x v="1"/>
    <x v="4"/>
    <x v="1"/>
    <n v="46"/>
    <x v="0"/>
    <x v="0"/>
    <n v="0"/>
    <x v="2"/>
  </r>
  <r>
    <n v="22918"/>
    <x v="1"/>
    <x v="1"/>
    <x v="2"/>
    <n v="5"/>
    <x v="4"/>
    <s v="Management"/>
    <s v="Yes"/>
    <x v="4"/>
    <x v="0"/>
    <x v="1"/>
    <n v="50"/>
    <x v="0"/>
    <x v="0"/>
    <n v="0"/>
    <x v="1"/>
  </r>
  <r>
    <n v="12510"/>
    <x v="0"/>
    <x v="1"/>
    <x v="0"/>
    <n v="1"/>
    <x v="0"/>
    <s v="Skilled Manual"/>
    <s v="Yes"/>
    <x v="1"/>
    <x v="0"/>
    <x v="0"/>
    <n v="43"/>
    <x v="0"/>
    <x v="1"/>
    <n v="1"/>
    <x v="0"/>
  </r>
  <r>
    <n v="25512"/>
    <x v="1"/>
    <x v="1"/>
    <x v="6"/>
    <n v="0"/>
    <x v="2"/>
    <s v="Manual"/>
    <s v="No"/>
    <x v="1"/>
    <x v="1"/>
    <x v="0"/>
    <n v="30"/>
    <x v="2"/>
    <x v="0"/>
    <n v="0"/>
    <x v="0"/>
  </r>
  <r>
    <n v="16179"/>
    <x v="1"/>
    <x v="0"/>
    <x v="2"/>
    <n v="5"/>
    <x v="0"/>
    <s v="Professional"/>
    <s v="Yes"/>
    <x v="3"/>
    <x v="3"/>
    <x v="1"/>
    <n v="38"/>
    <x v="0"/>
    <x v="0"/>
    <n v="0"/>
    <x v="1"/>
  </r>
  <r>
    <n v="15628"/>
    <x v="0"/>
    <x v="0"/>
    <x v="0"/>
    <n v="1"/>
    <x v="0"/>
    <s v="Skilled Manual"/>
    <s v="Yes"/>
    <x v="1"/>
    <x v="0"/>
    <x v="0"/>
    <n v="89"/>
    <x v="1"/>
    <x v="0"/>
    <n v="0"/>
    <x v="0"/>
  </r>
  <r>
    <n v="20977"/>
    <x v="0"/>
    <x v="1"/>
    <x v="6"/>
    <n v="1"/>
    <x v="0"/>
    <s v="Clerical"/>
    <s v="Yes"/>
    <x v="0"/>
    <x v="0"/>
    <x v="0"/>
    <n v="64"/>
    <x v="1"/>
    <x v="1"/>
    <n v="1"/>
    <x v="0"/>
  </r>
  <r>
    <n v="18140"/>
    <x v="0"/>
    <x v="1"/>
    <x v="12"/>
    <n v="3"/>
    <x v="1"/>
    <s v="Professional"/>
    <s v="No"/>
    <x v="4"/>
    <x v="2"/>
    <x v="0"/>
    <n v="51"/>
    <x v="0"/>
    <x v="1"/>
    <n v="1"/>
    <x v="2"/>
  </r>
  <r>
    <n v="20417"/>
    <x v="0"/>
    <x v="1"/>
    <x v="1"/>
    <n v="3"/>
    <x v="1"/>
    <s v="Clerical"/>
    <s v="No"/>
    <x v="2"/>
    <x v="2"/>
    <x v="1"/>
    <n v="56"/>
    <x v="1"/>
    <x v="0"/>
    <n v="0"/>
    <x v="0"/>
  </r>
  <r>
    <n v="18267"/>
    <x v="0"/>
    <x v="1"/>
    <x v="10"/>
    <n v="3"/>
    <x v="0"/>
    <s v="Professional"/>
    <s v="Yes"/>
    <x v="2"/>
    <x v="2"/>
    <x v="1"/>
    <n v="43"/>
    <x v="0"/>
    <x v="0"/>
    <n v="0"/>
    <x v="3"/>
  </r>
  <r>
    <n v="13620"/>
    <x v="1"/>
    <x v="1"/>
    <x v="3"/>
    <n v="0"/>
    <x v="0"/>
    <s v="Professional"/>
    <s v="No"/>
    <x v="4"/>
    <x v="4"/>
    <x v="1"/>
    <n v="30"/>
    <x v="2"/>
    <x v="1"/>
    <n v="1"/>
    <x v="1"/>
  </r>
  <r>
    <n v="22974"/>
    <x v="0"/>
    <x v="0"/>
    <x v="1"/>
    <n v="2"/>
    <x v="1"/>
    <s v="Clerical"/>
    <s v="Yes"/>
    <x v="2"/>
    <x v="2"/>
    <x v="1"/>
    <n v="69"/>
    <x v="1"/>
    <x v="0"/>
    <n v="0"/>
    <x v="0"/>
  </r>
  <r>
    <n v="13586"/>
    <x v="0"/>
    <x v="1"/>
    <x v="2"/>
    <n v="4"/>
    <x v="1"/>
    <s v="Professional"/>
    <s v="Yes"/>
    <x v="2"/>
    <x v="4"/>
    <x v="0"/>
    <n v="53"/>
    <x v="0"/>
    <x v="0"/>
    <n v="0"/>
    <x v="1"/>
  </r>
  <r>
    <n v="17978"/>
    <x v="0"/>
    <x v="1"/>
    <x v="0"/>
    <n v="0"/>
    <x v="4"/>
    <s v="Clerical"/>
    <s v="Yes"/>
    <x v="0"/>
    <x v="0"/>
    <x v="0"/>
    <n v="37"/>
    <x v="0"/>
    <x v="1"/>
    <n v="1"/>
    <x v="0"/>
  </r>
  <r>
    <n v="12581"/>
    <x v="1"/>
    <x v="0"/>
    <x v="4"/>
    <n v="0"/>
    <x v="1"/>
    <s v="Manual"/>
    <s v="No"/>
    <x v="1"/>
    <x v="0"/>
    <x v="1"/>
    <n v="28"/>
    <x v="2"/>
    <x v="1"/>
    <n v="1"/>
    <x v="0"/>
  </r>
  <r>
    <n v="18018"/>
    <x v="1"/>
    <x v="1"/>
    <x v="1"/>
    <n v="3"/>
    <x v="1"/>
    <s v="Clerical"/>
    <s v="Yes"/>
    <x v="0"/>
    <x v="0"/>
    <x v="0"/>
    <n v="43"/>
    <x v="0"/>
    <x v="0"/>
    <n v="0"/>
    <x v="0"/>
  </r>
  <r>
    <n v="28957"/>
    <x v="1"/>
    <x v="0"/>
    <x v="7"/>
    <n v="0"/>
    <x v="3"/>
    <s v="Professional"/>
    <s v="Yes"/>
    <x v="3"/>
    <x v="4"/>
    <x v="1"/>
    <n v="34"/>
    <x v="0"/>
    <x v="1"/>
    <n v="1"/>
    <x v="2"/>
  </r>
  <r>
    <n v="13690"/>
    <x v="1"/>
    <x v="0"/>
    <x v="6"/>
    <n v="0"/>
    <x v="3"/>
    <s v="Manual"/>
    <s v="No"/>
    <x v="2"/>
    <x v="3"/>
    <x v="0"/>
    <n v="34"/>
    <x v="0"/>
    <x v="1"/>
    <n v="1"/>
    <x v="0"/>
  </r>
  <r>
    <n v="12568"/>
    <x v="0"/>
    <x v="0"/>
    <x v="1"/>
    <n v="1"/>
    <x v="0"/>
    <s v="Clerical"/>
    <s v="Yes"/>
    <x v="0"/>
    <x v="0"/>
    <x v="0"/>
    <n v="64"/>
    <x v="1"/>
    <x v="0"/>
    <n v="0"/>
    <x v="0"/>
  </r>
  <r>
    <n v="13122"/>
    <x v="0"/>
    <x v="0"/>
    <x v="2"/>
    <n v="0"/>
    <x v="0"/>
    <s v="Professional"/>
    <s v="Yes"/>
    <x v="1"/>
    <x v="3"/>
    <x v="1"/>
    <n v="41"/>
    <x v="0"/>
    <x v="1"/>
    <n v="1"/>
    <x v="1"/>
  </r>
  <r>
    <n v="21184"/>
    <x v="1"/>
    <x v="1"/>
    <x v="3"/>
    <n v="0"/>
    <x v="0"/>
    <s v="Professional"/>
    <s v="No"/>
    <x v="1"/>
    <x v="2"/>
    <x v="1"/>
    <n v="38"/>
    <x v="0"/>
    <x v="0"/>
    <n v="0"/>
    <x v="1"/>
  </r>
  <r>
    <n v="26150"/>
    <x v="1"/>
    <x v="0"/>
    <x v="3"/>
    <n v="0"/>
    <x v="0"/>
    <s v="Professional"/>
    <s v="No"/>
    <x v="1"/>
    <x v="0"/>
    <x v="1"/>
    <n v="41"/>
    <x v="0"/>
    <x v="1"/>
    <n v="1"/>
    <x v="1"/>
  </r>
  <r>
    <n v="24151"/>
    <x v="1"/>
    <x v="1"/>
    <x v="6"/>
    <n v="1"/>
    <x v="0"/>
    <s v="Clerical"/>
    <s v="No"/>
    <x v="0"/>
    <x v="0"/>
    <x v="0"/>
    <n v="51"/>
    <x v="0"/>
    <x v="0"/>
    <n v="0"/>
    <x v="0"/>
  </r>
  <r>
    <n v="23962"/>
    <x v="0"/>
    <x v="0"/>
    <x v="4"/>
    <n v="0"/>
    <x v="3"/>
    <s v="Manual"/>
    <s v="Yes"/>
    <x v="2"/>
    <x v="3"/>
    <x v="0"/>
    <n v="32"/>
    <x v="0"/>
    <x v="0"/>
    <n v="0"/>
    <x v="0"/>
  </r>
  <r>
    <n v="17793"/>
    <x v="0"/>
    <x v="0"/>
    <x v="0"/>
    <n v="0"/>
    <x v="0"/>
    <s v="Clerical"/>
    <s v="Yes"/>
    <x v="0"/>
    <x v="0"/>
    <x v="0"/>
    <n v="38"/>
    <x v="0"/>
    <x v="1"/>
    <n v="1"/>
    <x v="0"/>
  </r>
  <r>
    <n v="14926"/>
    <x v="0"/>
    <x v="1"/>
    <x v="1"/>
    <n v="1"/>
    <x v="0"/>
    <s v="Clerical"/>
    <s v="Yes"/>
    <x v="0"/>
    <x v="0"/>
    <x v="0"/>
    <n v="38"/>
    <x v="0"/>
    <x v="1"/>
    <n v="1"/>
    <x v="0"/>
  </r>
  <r>
    <n v="16163"/>
    <x v="1"/>
    <x v="1"/>
    <x v="10"/>
    <n v="2"/>
    <x v="0"/>
    <s v="Professional"/>
    <s v="Yes"/>
    <x v="1"/>
    <x v="1"/>
    <x v="1"/>
    <n v="38"/>
    <x v="0"/>
    <x v="1"/>
    <n v="1"/>
    <x v="3"/>
  </r>
  <r>
    <n v="21365"/>
    <x v="0"/>
    <x v="0"/>
    <x v="4"/>
    <n v="2"/>
    <x v="3"/>
    <s v="Clerical"/>
    <s v="Yes"/>
    <x v="2"/>
    <x v="2"/>
    <x v="1"/>
    <n v="58"/>
    <x v="1"/>
    <x v="0"/>
    <n v="0"/>
    <x v="0"/>
  </r>
  <r>
    <n v="27771"/>
    <x v="1"/>
    <x v="1"/>
    <x v="1"/>
    <n v="1"/>
    <x v="0"/>
    <s v="Clerical"/>
    <s v="Yes"/>
    <x v="1"/>
    <x v="3"/>
    <x v="0"/>
    <n v="39"/>
    <x v="0"/>
    <x v="1"/>
    <n v="1"/>
    <x v="0"/>
  </r>
  <r>
    <n v="26167"/>
    <x v="1"/>
    <x v="0"/>
    <x v="0"/>
    <n v="2"/>
    <x v="0"/>
    <s v="Management"/>
    <s v="No"/>
    <x v="1"/>
    <x v="2"/>
    <x v="1"/>
    <n v="53"/>
    <x v="0"/>
    <x v="1"/>
    <n v="1"/>
    <x v="0"/>
  </r>
  <r>
    <n v="25792"/>
    <x v="1"/>
    <x v="0"/>
    <x v="15"/>
    <n v="3"/>
    <x v="0"/>
    <s v="Management"/>
    <s v="Yes"/>
    <x v="3"/>
    <x v="4"/>
    <x v="0"/>
    <n v="53"/>
    <x v="0"/>
    <x v="0"/>
    <n v="0"/>
    <x v="2"/>
  </r>
  <r>
    <n v="11555"/>
    <x v="0"/>
    <x v="0"/>
    <x v="0"/>
    <n v="1"/>
    <x v="0"/>
    <s v="Clerical"/>
    <s v="Yes"/>
    <x v="0"/>
    <x v="0"/>
    <x v="0"/>
    <n v="80"/>
    <x v="1"/>
    <x v="0"/>
    <n v="0"/>
    <x v="0"/>
  </r>
  <r>
    <n v="22381"/>
    <x v="0"/>
    <x v="1"/>
    <x v="4"/>
    <n v="1"/>
    <x v="4"/>
    <s v="Manual"/>
    <s v="Yes"/>
    <x v="0"/>
    <x v="0"/>
    <x v="0"/>
    <n v="44"/>
    <x v="0"/>
    <x v="0"/>
    <n v="0"/>
    <x v="0"/>
  </r>
  <r>
    <n v="17882"/>
    <x v="0"/>
    <x v="1"/>
    <x v="6"/>
    <n v="1"/>
    <x v="4"/>
    <s v="Clerical"/>
    <s v="Yes"/>
    <x v="0"/>
    <x v="0"/>
    <x v="0"/>
    <n v="44"/>
    <x v="0"/>
    <x v="0"/>
    <n v="0"/>
    <x v="0"/>
  </r>
  <r>
    <n v="22174"/>
    <x v="0"/>
    <x v="1"/>
    <x v="1"/>
    <n v="3"/>
    <x v="2"/>
    <s v="Skilled Manual"/>
    <s v="Yes"/>
    <x v="2"/>
    <x v="2"/>
    <x v="1"/>
    <n v="54"/>
    <x v="0"/>
    <x v="1"/>
    <n v="1"/>
    <x v="0"/>
  </r>
  <r>
    <n v="22439"/>
    <x v="0"/>
    <x v="0"/>
    <x v="1"/>
    <n v="0"/>
    <x v="0"/>
    <s v="Clerical"/>
    <s v="Yes"/>
    <x v="0"/>
    <x v="0"/>
    <x v="0"/>
    <n v="37"/>
    <x v="0"/>
    <x v="1"/>
    <n v="1"/>
    <x v="0"/>
  </r>
  <r>
    <n v="18012"/>
    <x v="0"/>
    <x v="0"/>
    <x v="0"/>
    <n v="1"/>
    <x v="0"/>
    <s v="Skilled Manual"/>
    <s v="Yes"/>
    <x v="0"/>
    <x v="0"/>
    <x v="0"/>
    <n v="41"/>
    <x v="0"/>
    <x v="0"/>
    <n v="0"/>
    <x v="0"/>
  </r>
  <r>
    <n v="27582"/>
    <x v="1"/>
    <x v="0"/>
    <x v="8"/>
    <n v="2"/>
    <x v="0"/>
    <s v="Professional"/>
    <s v="No"/>
    <x v="0"/>
    <x v="0"/>
    <x v="1"/>
    <n v="36"/>
    <x v="0"/>
    <x v="1"/>
    <n v="1"/>
    <x v="2"/>
  </r>
  <r>
    <n v="12744"/>
    <x v="1"/>
    <x v="0"/>
    <x v="0"/>
    <n v="2"/>
    <x v="1"/>
    <s v="Clerical"/>
    <s v="Yes"/>
    <x v="0"/>
    <x v="0"/>
    <x v="0"/>
    <n v="33"/>
    <x v="0"/>
    <x v="0"/>
    <n v="0"/>
    <x v="0"/>
  </r>
  <r>
    <n v="22821"/>
    <x v="0"/>
    <x v="0"/>
    <x v="12"/>
    <n v="3"/>
    <x v="1"/>
    <s v="Professional"/>
    <s v="Yes"/>
    <x v="3"/>
    <x v="0"/>
    <x v="0"/>
    <n v="52"/>
    <x v="0"/>
    <x v="0"/>
    <n v="0"/>
    <x v="2"/>
  </r>
  <r>
    <n v="20171"/>
    <x v="0"/>
    <x v="0"/>
    <x v="6"/>
    <n v="2"/>
    <x v="1"/>
    <s v="Manual"/>
    <s v="Yes"/>
    <x v="1"/>
    <x v="0"/>
    <x v="0"/>
    <n v="46"/>
    <x v="0"/>
    <x v="1"/>
    <n v="1"/>
    <x v="0"/>
  </r>
  <r>
    <n v="11116"/>
    <x v="0"/>
    <x v="1"/>
    <x v="3"/>
    <n v="5"/>
    <x v="1"/>
    <s v="Skilled Manual"/>
    <s v="Yes"/>
    <x v="2"/>
    <x v="2"/>
    <x v="1"/>
    <n v="43"/>
    <x v="0"/>
    <x v="0"/>
    <n v="0"/>
    <x v="1"/>
  </r>
  <r>
    <n v="20053"/>
    <x v="1"/>
    <x v="1"/>
    <x v="0"/>
    <n v="2"/>
    <x v="1"/>
    <s v="Clerical"/>
    <s v="Yes"/>
    <x v="0"/>
    <x v="0"/>
    <x v="0"/>
    <n v="34"/>
    <x v="0"/>
    <x v="0"/>
    <n v="0"/>
    <x v="0"/>
  </r>
  <r>
    <n v="25266"/>
    <x v="1"/>
    <x v="0"/>
    <x v="1"/>
    <n v="2"/>
    <x v="1"/>
    <s v="Clerical"/>
    <s v="No"/>
    <x v="2"/>
    <x v="2"/>
    <x v="1"/>
    <n v="67"/>
    <x v="1"/>
    <x v="0"/>
    <n v="0"/>
    <x v="0"/>
  </r>
  <r>
    <n v="17960"/>
    <x v="0"/>
    <x v="0"/>
    <x v="0"/>
    <n v="0"/>
    <x v="4"/>
    <s v="Clerical"/>
    <s v="Yes"/>
    <x v="0"/>
    <x v="0"/>
    <x v="0"/>
    <n v="35"/>
    <x v="0"/>
    <x v="1"/>
    <n v="1"/>
    <x v="0"/>
  </r>
  <r>
    <n v="13961"/>
    <x v="0"/>
    <x v="0"/>
    <x v="2"/>
    <n v="5"/>
    <x v="4"/>
    <s v="Management"/>
    <s v="Yes"/>
    <x v="4"/>
    <x v="0"/>
    <x v="1"/>
    <n v="40"/>
    <x v="0"/>
    <x v="0"/>
    <n v="0"/>
    <x v="1"/>
  </r>
  <r>
    <n v="11897"/>
    <x v="1"/>
    <x v="1"/>
    <x v="10"/>
    <n v="2"/>
    <x v="0"/>
    <s v="Professional"/>
    <s v="No"/>
    <x v="1"/>
    <x v="0"/>
    <x v="1"/>
    <n v="37"/>
    <x v="0"/>
    <x v="1"/>
    <n v="1"/>
    <x v="3"/>
  </r>
  <r>
    <n v="11139"/>
    <x v="1"/>
    <x v="0"/>
    <x v="1"/>
    <n v="2"/>
    <x v="1"/>
    <s v="Clerical"/>
    <s v="No"/>
    <x v="2"/>
    <x v="2"/>
    <x v="1"/>
    <n v="67"/>
    <x v="1"/>
    <x v="0"/>
    <n v="0"/>
    <x v="0"/>
  </r>
  <r>
    <n v="11576"/>
    <x v="0"/>
    <x v="1"/>
    <x v="1"/>
    <n v="1"/>
    <x v="0"/>
    <s v="Skilled Manual"/>
    <s v="Yes"/>
    <x v="2"/>
    <x v="0"/>
    <x v="0"/>
    <n v="41"/>
    <x v="0"/>
    <x v="1"/>
    <n v="1"/>
    <x v="0"/>
  </r>
  <r>
    <n v="19255"/>
    <x v="1"/>
    <x v="1"/>
    <x v="4"/>
    <n v="2"/>
    <x v="1"/>
    <s v="Manual"/>
    <s v="Yes"/>
    <x v="1"/>
    <x v="0"/>
    <x v="0"/>
    <n v="51"/>
    <x v="0"/>
    <x v="1"/>
    <n v="1"/>
    <x v="0"/>
  </r>
  <r>
    <n v="18153"/>
    <x v="0"/>
    <x v="0"/>
    <x v="11"/>
    <n v="2"/>
    <x v="0"/>
    <s v="Management"/>
    <s v="Yes"/>
    <x v="3"/>
    <x v="4"/>
    <x v="0"/>
    <n v="59"/>
    <x v="1"/>
    <x v="0"/>
    <n v="0"/>
    <x v="2"/>
  </r>
  <r>
    <n v="14547"/>
    <x v="0"/>
    <x v="1"/>
    <x v="4"/>
    <n v="2"/>
    <x v="1"/>
    <s v="Manual"/>
    <s v="Yes"/>
    <x v="0"/>
    <x v="3"/>
    <x v="0"/>
    <n v="51"/>
    <x v="0"/>
    <x v="0"/>
    <n v="0"/>
    <x v="0"/>
  </r>
  <r>
    <n v="24901"/>
    <x v="1"/>
    <x v="1"/>
    <x v="15"/>
    <n v="0"/>
    <x v="1"/>
    <s v="Management"/>
    <s v="No"/>
    <x v="4"/>
    <x v="4"/>
    <x v="1"/>
    <n v="32"/>
    <x v="0"/>
    <x v="1"/>
    <n v="1"/>
    <x v="2"/>
  </r>
  <r>
    <n v="27169"/>
    <x v="1"/>
    <x v="1"/>
    <x v="1"/>
    <n v="0"/>
    <x v="2"/>
    <s v="Manual"/>
    <s v="Yes"/>
    <x v="1"/>
    <x v="1"/>
    <x v="0"/>
    <n v="34"/>
    <x v="0"/>
    <x v="1"/>
    <n v="1"/>
    <x v="0"/>
  </r>
  <r>
    <n v="14805"/>
    <x v="1"/>
    <x v="0"/>
    <x v="4"/>
    <n v="3"/>
    <x v="3"/>
    <s v="Manual"/>
    <s v="Yes"/>
    <x v="2"/>
    <x v="0"/>
    <x v="0"/>
    <n v="43"/>
    <x v="0"/>
    <x v="0"/>
    <n v="0"/>
    <x v="0"/>
  </r>
  <r>
    <n v="15822"/>
    <x v="0"/>
    <x v="1"/>
    <x v="0"/>
    <n v="2"/>
    <x v="0"/>
    <s v="Management"/>
    <s v="Yes"/>
    <x v="2"/>
    <x v="0"/>
    <x v="1"/>
    <n v="67"/>
    <x v="1"/>
    <x v="0"/>
    <n v="0"/>
    <x v="0"/>
  </r>
  <r>
    <n v="19389"/>
    <x v="1"/>
    <x v="1"/>
    <x v="1"/>
    <n v="0"/>
    <x v="1"/>
    <s v="Clerical"/>
    <s v="No"/>
    <x v="1"/>
    <x v="1"/>
    <x v="0"/>
    <n v="28"/>
    <x v="2"/>
    <x v="0"/>
    <n v="0"/>
    <x v="0"/>
  </r>
  <r>
    <n v="17048"/>
    <x v="1"/>
    <x v="0"/>
    <x v="8"/>
    <n v="1"/>
    <x v="4"/>
    <s v="Management"/>
    <s v="Yes"/>
    <x v="0"/>
    <x v="0"/>
    <x v="1"/>
    <n v="36"/>
    <x v="0"/>
    <x v="1"/>
    <n v="1"/>
    <x v="2"/>
  </r>
  <r>
    <n v="22204"/>
    <x v="0"/>
    <x v="1"/>
    <x v="15"/>
    <n v="4"/>
    <x v="0"/>
    <s v="Management"/>
    <s v="Yes"/>
    <x v="4"/>
    <x v="1"/>
    <x v="1"/>
    <n v="48"/>
    <x v="0"/>
    <x v="0"/>
    <n v="0"/>
    <x v="2"/>
  </r>
  <r>
    <n v="12718"/>
    <x v="1"/>
    <x v="0"/>
    <x v="1"/>
    <n v="0"/>
    <x v="1"/>
    <s v="Clerical"/>
    <s v="Yes"/>
    <x v="1"/>
    <x v="1"/>
    <x v="0"/>
    <n v="31"/>
    <x v="0"/>
    <x v="0"/>
    <n v="0"/>
    <x v="0"/>
  </r>
  <r>
    <n v="15019"/>
    <x v="1"/>
    <x v="0"/>
    <x v="1"/>
    <n v="3"/>
    <x v="2"/>
    <s v="Skilled Manual"/>
    <s v="Yes"/>
    <x v="2"/>
    <x v="2"/>
    <x v="1"/>
    <n v="55"/>
    <x v="0"/>
    <x v="0"/>
    <n v="0"/>
    <x v="0"/>
  </r>
  <r>
    <n v="28488"/>
    <x v="1"/>
    <x v="1"/>
    <x v="6"/>
    <n v="0"/>
    <x v="1"/>
    <s v="Manual"/>
    <s v="Yes"/>
    <x v="0"/>
    <x v="0"/>
    <x v="1"/>
    <n v="28"/>
    <x v="2"/>
    <x v="1"/>
    <n v="1"/>
    <x v="0"/>
  </r>
  <r>
    <n v="21891"/>
    <x v="0"/>
    <x v="0"/>
    <x v="15"/>
    <n v="0"/>
    <x v="2"/>
    <s v="Management"/>
    <s v="Yes"/>
    <x v="4"/>
    <x v="4"/>
    <x v="1"/>
    <n v="34"/>
    <x v="0"/>
    <x v="1"/>
    <n v="1"/>
    <x v="2"/>
  </r>
  <r>
    <n v="27814"/>
    <x v="1"/>
    <x v="0"/>
    <x v="1"/>
    <n v="3"/>
    <x v="1"/>
    <s v="Clerical"/>
    <s v="No"/>
    <x v="1"/>
    <x v="0"/>
    <x v="0"/>
    <n v="26"/>
    <x v="2"/>
    <x v="0"/>
    <n v="0"/>
    <x v="0"/>
  </r>
  <r>
    <n v="22175"/>
    <x v="0"/>
    <x v="0"/>
    <x v="1"/>
    <n v="3"/>
    <x v="2"/>
    <s v="Skilled Manual"/>
    <s v="Yes"/>
    <x v="2"/>
    <x v="2"/>
    <x v="1"/>
    <n v="53"/>
    <x v="0"/>
    <x v="1"/>
    <n v="1"/>
    <x v="0"/>
  </r>
  <r>
    <n v="29447"/>
    <x v="1"/>
    <x v="0"/>
    <x v="4"/>
    <n v="2"/>
    <x v="0"/>
    <s v="Clerical"/>
    <s v="No"/>
    <x v="1"/>
    <x v="1"/>
    <x v="0"/>
    <n v="68"/>
    <x v="1"/>
    <x v="0"/>
    <n v="0"/>
    <x v="0"/>
  </r>
  <r>
    <n v="19784"/>
    <x v="0"/>
    <x v="0"/>
    <x v="2"/>
    <n v="2"/>
    <x v="2"/>
    <s v="Skilled Manual"/>
    <s v="Yes"/>
    <x v="2"/>
    <x v="2"/>
    <x v="1"/>
    <n v="50"/>
    <x v="0"/>
    <x v="1"/>
    <n v="1"/>
    <x v="1"/>
  </r>
  <r>
    <n v="27824"/>
    <x v="1"/>
    <x v="0"/>
    <x v="1"/>
    <n v="3"/>
    <x v="1"/>
    <s v="Clerical"/>
    <s v="Yes"/>
    <x v="2"/>
    <x v="0"/>
    <x v="0"/>
    <n v="28"/>
    <x v="2"/>
    <x v="1"/>
    <n v="1"/>
    <x v="0"/>
  </r>
  <r>
    <n v="24093"/>
    <x v="1"/>
    <x v="0"/>
    <x v="2"/>
    <n v="0"/>
    <x v="4"/>
    <s v="Skilled Manual"/>
    <s v="No"/>
    <x v="0"/>
    <x v="0"/>
    <x v="0"/>
    <n v="40"/>
    <x v="0"/>
    <x v="1"/>
    <n v="1"/>
    <x v="1"/>
  </r>
  <r>
    <n v="19618"/>
    <x v="0"/>
    <x v="1"/>
    <x v="3"/>
    <n v="5"/>
    <x v="1"/>
    <s v="Skilled Manual"/>
    <s v="Yes"/>
    <x v="2"/>
    <x v="0"/>
    <x v="1"/>
    <n v="44"/>
    <x v="0"/>
    <x v="0"/>
    <n v="0"/>
    <x v="1"/>
  </r>
  <r>
    <n v="21561"/>
    <x v="1"/>
    <x v="1"/>
    <x v="8"/>
    <n v="0"/>
    <x v="0"/>
    <s v="Professional"/>
    <s v="No"/>
    <x v="4"/>
    <x v="4"/>
    <x v="1"/>
    <n v="34"/>
    <x v="0"/>
    <x v="1"/>
    <n v="1"/>
    <x v="2"/>
  </r>
  <r>
    <n v="11061"/>
    <x v="0"/>
    <x v="1"/>
    <x v="3"/>
    <n v="2"/>
    <x v="1"/>
    <s v="Skilled Manual"/>
    <s v="Yes"/>
    <x v="2"/>
    <x v="2"/>
    <x v="1"/>
    <n v="52"/>
    <x v="0"/>
    <x v="1"/>
    <n v="1"/>
    <x v="1"/>
  </r>
  <r>
    <n v="26651"/>
    <x v="1"/>
    <x v="1"/>
    <x v="2"/>
    <n v="4"/>
    <x v="4"/>
    <s v="Management"/>
    <s v="Yes"/>
    <x v="0"/>
    <x v="0"/>
    <x v="1"/>
    <n v="36"/>
    <x v="0"/>
    <x v="1"/>
    <n v="1"/>
    <x v="1"/>
  </r>
  <r>
    <n v="21108"/>
    <x v="0"/>
    <x v="0"/>
    <x v="0"/>
    <n v="1"/>
    <x v="0"/>
    <s v="Skilled Manual"/>
    <s v="Yes"/>
    <x v="1"/>
    <x v="0"/>
    <x v="0"/>
    <n v="43"/>
    <x v="0"/>
    <x v="1"/>
    <n v="1"/>
    <x v="0"/>
  </r>
  <r>
    <n v="12731"/>
    <x v="1"/>
    <x v="1"/>
    <x v="1"/>
    <n v="0"/>
    <x v="2"/>
    <s v="Manual"/>
    <s v="No"/>
    <x v="1"/>
    <x v="3"/>
    <x v="0"/>
    <n v="32"/>
    <x v="0"/>
    <x v="0"/>
    <n v="0"/>
    <x v="0"/>
  </r>
  <r>
    <n v="25307"/>
    <x v="0"/>
    <x v="0"/>
    <x v="0"/>
    <n v="1"/>
    <x v="0"/>
    <s v="Skilled Manual"/>
    <s v="Yes"/>
    <x v="1"/>
    <x v="3"/>
    <x v="0"/>
    <n v="32"/>
    <x v="0"/>
    <x v="1"/>
    <n v="1"/>
    <x v="0"/>
  </r>
  <r>
    <n v="14278"/>
    <x v="0"/>
    <x v="0"/>
    <x v="12"/>
    <n v="0"/>
    <x v="4"/>
    <s v="Management"/>
    <s v="Yes"/>
    <x v="1"/>
    <x v="4"/>
    <x v="1"/>
    <n v="48"/>
    <x v="0"/>
    <x v="0"/>
    <n v="0"/>
    <x v="2"/>
  </r>
  <r>
    <n v="20711"/>
    <x v="0"/>
    <x v="0"/>
    <x v="0"/>
    <n v="1"/>
    <x v="0"/>
    <s v="Skilled Manual"/>
    <s v="Yes"/>
    <x v="0"/>
    <x v="3"/>
    <x v="0"/>
    <n v="32"/>
    <x v="0"/>
    <x v="1"/>
    <n v="1"/>
    <x v="0"/>
  </r>
  <r>
    <n v="11383"/>
    <x v="0"/>
    <x v="0"/>
    <x v="1"/>
    <n v="3"/>
    <x v="4"/>
    <s v="Clerical"/>
    <s v="Yes"/>
    <x v="0"/>
    <x v="0"/>
    <x v="0"/>
    <n v="46"/>
    <x v="0"/>
    <x v="0"/>
    <n v="0"/>
    <x v="0"/>
  </r>
  <r>
    <n v="12497"/>
    <x v="0"/>
    <x v="0"/>
    <x v="0"/>
    <n v="1"/>
    <x v="0"/>
    <s v="Skilled Manual"/>
    <s v="Yes"/>
    <x v="0"/>
    <x v="0"/>
    <x v="0"/>
    <n v="42"/>
    <x v="0"/>
    <x v="0"/>
    <n v="0"/>
    <x v="0"/>
  </r>
  <r>
    <n v="16559"/>
    <x v="1"/>
    <x v="0"/>
    <x v="4"/>
    <n v="2"/>
    <x v="2"/>
    <s v="Manual"/>
    <s v="Yes"/>
    <x v="0"/>
    <x v="0"/>
    <x v="0"/>
    <n v="36"/>
    <x v="0"/>
    <x v="1"/>
    <n v="1"/>
    <x v="0"/>
  </r>
  <r>
    <n v="11585"/>
    <x v="0"/>
    <x v="0"/>
    <x v="0"/>
    <n v="1"/>
    <x v="0"/>
    <s v="Skilled Manual"/>
    <s v="Yes"/>
    <x v="0"/>
    <x v="0"/>
    <x v="0"/>
    <n v="41"/>
    <x v="0"/>
    <x v="0"/>
    <n v="0"/>
    <x v="0"/>
  </r>
  <r>
    <n v="20277"/>
    <x v="0"/>
    <x v="0"/>
    <x v="1"/>
    <n v="2"/>
    <x v="1"/>
    <s v="Clerical"/>
    <s v="No"/>
    <x v="2"/>
    <x v="0"/>
    <x v="1"/>
    <n v="69"/>
    <x v="1"/>
    <x v="0"/>
    <n v="0"/>
    <x v="0"/>
  </r>
  <r>
    <n v="26765"/>
    <x v="1"/>
    <x v="0"/>
    <x v="3"/>
    <n v="5"/>
    <x v="1"/>
    <s v="Skilled Manual"/>
    <s v="Yes"/>
    <x v="2"/>
    <x v="2"/>
    <x v="1"/>
    <n v="45"/>
    <x v="0"/>
    <x v="0"/>
    <n v="0"/>
    <x v="1"/>
  </r>
  <r>
    <n v="12389"/>
    <x v="1"/>
    <x v="1"/>
    <x v="1"/>
    <n v="0"/>
    <x v="2"/>
    <s v="Manual"/>
    <s v="No"/>
    <x v="1"/>
    <x v="1"/>
    <x v="0"/>
    <n v="34"/>
    <x v="0"/>
    <x v="0"/>
    <n v="0"/>
    <x v="0"/>
  </r>
  <r>
    <n v="13585"/>
    <x v="0"/>
    <x v="0"/>
    <x v="2"/>
    <n v="4"/>
    <x v="1"/>
    <s v="Professional"/>
    <s v="No"/>
    <x v="1"/>
    <x v="1"/>
    <x v="0"/>
    <n v="53"/>
    <x v="0"/>
    <x v="1"/>
    <n v="1"/>
    <x v="1"/>
  </r>
  <r>
    <n v="26385"/>
    <x v="1"/>
    <x v="1"/>
    <x v="7"/>
    <n v="3"/>
    <x v="2"/>
    <s v="Professional"/>
    <s v="No"/>
    <x v="3"/>
    <x v="2"/>
    <x v="0"/>
    <n v="50"/>
    <x v="0"/>
    <x v="0"/>
    <n v="0"/>
    <x v="2"/>
  </r>
  <r>
    <n v="12236"/>
    <x v="0"/>
    <x v="0"/>
    <x v="6"/>
    <n v="1"/>
    <x v="1"/>
    <s v="Manual"/>
    <s v="Yes"/>
    <x v="0"/>
    <x v="0"/>
    <x v="0"/>
    <n v="65"/>
    <x v="1"/>
    <x v="0"/>
    <n v="0"/>
    <x v="0"/>
  </r>
  <r>
    <n v="21560"/>
    <x v="0"/>
    <x v="1"/>
    <x v="7"/>
    <n v="0"/>
    <x v="3"/>
    <s v="Professional"/>
    <s v="Yes"/>
    <x v="3"/>
    <x v="4"/>
    <x v="1"/>
    <n v="32"/>
    <x v="0"/>
    <x v="1"/>
    <n v="1"/>
    <x v="2"/>
  </r>
  <r>
    <n v="21554"/>
    <x v="1"/>
    <x v="0"/>
    <x v="2"/>
    <n v="0"/>
    <x v="0"/>
    <s v="Professional"/>
    <s v="No"/>
    <x v="4"/>
    <x v="4"/>
    <x v="1"/>
    <n v="33"/>
    <x v="0"/>
    <x v="0"/>
    <n v="0"/>
    <x v="1"/>
  </r>
  <r>
    <n v="13662"/>
    <x v="1"/>
    <x v="1"/>
    <x v="6"/>
    <n v="0"/>
    <x v="3"/>
    <s v="Manual"/>
    <s v="Yes"/>
    <x v="2"/>
    <x v="3"/>
    <x v="0"/>
    <n v="31"/>
    <x v="0"/>
    <x v="1"/>
    <n v="1"/>
    <x v="0"/>
  </r>
  <r>
    <n v="13089"/>
    <x v="0"/>
    <x v="0"/>
    <x v="7"/>
    <n v="1"/>
    <x v="0"/>
    <s v="Management"/>
    <s v="Yes"/>
    <x v="2"/>
    <x v="0"/>
    <x v="1"/>
    <n v="46"/>
    <x v="0"/>
    <x v="1"/>
    <n v="1"/>
    <x v="2"/>
  </r>
  <r>
    <n v="14791"/>
    <x v="0"/>
    <x v="0"/>
    <x v="0"/>
    <n v="0"/>
    <x v="0"/>
    <s v="Clerical"/>
    <s v="Yes"/>
    <x v="0"/>
    <x v="0"/>
    <x v="0"/>
    <n v="39"/>
    <x v="0"/>
    <x v="1"/>
    <n v="1"/>
    <x v="0"/>
  </r>
  <r>
    <n v="19331"/>
    <x v="1"/>
    <x v="1"/>
    <x v="6"/>
    <n v="2"/>
    <x v="2"/>
    <s v="Manual"/>
    <s v="Yes"/>
    <x v="1"/>
    <x v="0"/>
    <x v="0"/>
    <n v="40"/>
    <x v="0"/>
    <x v="0"/>
    <n v="0"/>
    <x v="0"/>
  </r>
  <r>
    <n v="17754"/>
    <x v="1"/>
    <x v="0"/>
    <x v="1"/>
    <n v="3"/>
    <x v="0"/>
    <s v="Clerical"/>
    <s v="Yes"/>
    <x v="0"/>
    <x v="0"/>
    <x v="0"/>
    <n v="46"/>
    <x v="0"/>
    <x v="1"/>
    <n v="1"/>
    <x v="0"/>
  </r>
  <r>
    <n v="11149"/>
    <x v="0"/>
    <x v="1"/>
    <x v="0"/>
    <n v="2"/>
    <x v="0"/>
    <s v="Management"/>
    <s v="Yes"/>
    <x v="2"/>
    <x v="0"/>
    <x v="1"/>
    <n v="65"/>
    <x v="1"/>
    <x v="0"/>
    <n v="0"/>
    <x v="0"/>
  </r>
  <r>
    <n v="16549"/>
    <x v="1"/>
    <x v="0"/>
    <x v="1"/>
    <n v="3"/>
    <x v="0"/>
    <s v="Clerical"/>
    <s v="Yes"/>
    <x v="0"/>
    <x v="0"/>
    <x v="0"/>
    <n v="47"/>
    <x v="0"/>
    <x v="1"/>
    <n v="1"/>
    <x v="0"/>
  </r>
  <r>
    <n v="24305"/>
    <x v="1"/>
    <x v="1"/>
    <x v="11"/>
    <n v="1"/>
    <x v="0"/>
    <s v="Management"/>
    <s v="No"/>
    <x v="4"/>
    <x v="0"/>
    <x v="1"/>
    <n v="46"/>
    <x v="0"/>
    <x v="1"/>
    <n v="1"/>
    <x v="2"/>
  </r>
  <r>
    <n v="18253"/>
    <x v="0"/>
    <x v="0"/>
    <x v="2"/>
    <n v="5"/>
    <x v="4"/>
    <s v="Management"/>
    <s v="Yes"/>
    <x v="4"/>
    <x v="0"/>
    <x v="1"/>
    <n v="40"/>
    <x v="0"/>
    <x v="0"/>
    <n v="0"/>
    <x v="1"/>
  </r>
  <r>
    <n v="20147"/>
    <x v="0"/>
    <x v="0"/>
    <x v="1"/>
    <n v="1"/>
    <x v="0"/>
    <s v="Clerical"/>
    <s v="Yes"/>
    <x v="0"/>
    <x v="0"/>
    <x v="0"/>
    <n v="65"/>
    <x v="1"/>
    <x v="0"/>
    <n v="0"/>
    <x v="0"/>
  </r>
  <r>
    <n v="15612"/>
    <x v="1"/>
    <x v="1"/>
    <x v="1"/>
    <n v="0"/>
    <x v="2"/>
    <s v="Manual"/>
    <s v="No"/>
    <x v="1"/>
    <x v="3"/>
    <x v="0"/>
    <n v="28"/>
    <x v="2"/>
    <x v="0"/>
    <n v="0"/>
    <x v="0"/>
  </r>
  <r>
    <n v="28323"/>
    <x v="1"/>
    <x v="1"/>
    <x v="3"/>
    <n v="0"/>
    <x v="0"/>
    <s v="Professional"/>
    <s v="No"/>
    <x v="2"/>
    <x v="2"/>
    <x v="1"/>
    <n v="43"/>
    <x v="0"/>
    <x v="1"/>
    <n v="1"/>
    <x v="1"/>
  </r>
  <r>
    <n v="22634"/>
    <x v="1"/>
    <x v="0"/>
    <x v="0"/>
    <n v="0"/>
    <x v="4"/>
    <s v="Clerical"/>
    <s v="Yes"/>
    <x v="0"/>
    <x v="0"/>
    <x v="0"/>
    <n v="38"/>
    <x v="0"/>
    <x v="1"/>
    <n v="1"/>
    <x v="0"/>
  </r>
  <r>
    <n v="15665"/>
    <x v="0"/>
    <x v="0"/>
    <x v="1"/>
    <n v="0"/>
    <x v="0"/>
    <s v="Clerical"/>
    <s v="Yes"/>
    <x v="0"/>
    <x v="0"/>
    <x v="0"/>
    <n v="47"/>
    <x v="0"/>
    <x v="1"/>
    <n v="1"/>
    <x v="0"/>
  </r>
  <r>
    <n v="27585"/>
    <x v="0"/>
    <x v="0"/>
    <x v="8"/>
    <n v="2"/>
    <x v="0"/>
    <s v="Professional"/>
    <s v="No"/>
    <x v="0"/>
    <x v="0"/>
    <x v="1"/>
    <n v="36"/>
    <x v="0"/>
    <x v="1"/>
    <n v="1"/>
    <x v="2"/>
  </r>
  <r>
    <n v="19748"/>
    <x v="0"/>
    <x v="1"/>
    <x v="6"/>
    <n v="4"/>
    <x v="2"/>
    <s v="Skilled Manual"/>
    <s v="No"/>
    <x v="2"/>
    <x v="3"/>
    <x v="1"/>
    <n v="60"/>
    <x v="1"/>
    <x v="0"/>
    <n v="0"/>
    <x v="0"/>
  </r>
  <r>
    <n v="21974"/>
    <x v="1"/>
    <x v="0"/>
    <x v="3"/>
    <n v="0"/>
    <x v="0"/>
    <s v="Professional"/>
    <s v="Yes"/>
    <x v="1"/>
    <x v="2"/>
    <x v="1"/>
    <n v="42"/>
    <x v="0"/>
    <x v="1"/>
    <n v="1"/>
    <x v="1"/>
  </r>
  <r>
    <n v="14032"/>
    <x v="0"/>
    <x v="1"/>
    <x v="3"/>
    <n v="2"/>
    <x v="2"/>
    <s v="Skilled Manual"/>
    <s v="No"/>
    <x v="2"/>
    <x v="3"/>
    <x v="1"/>
    <n v="50"/>
    <x v="0"/>
    <x v="1"/>
    <n v="1"/>
    <x v="1"/>
  </r>
  <r>
    <n v="22610"/>
    <x v="0"/>
    <x v="1"/>
    <x v="1"/>
    <n v="0"/>
    <x v="0"/>
    <s v="Clerical"/>
    <s v="Yes"/>
    <x v="0"/>
    <x v="0"/>
    <x v="0"/>
    <n v="35"/>
    <x v="0"/>
    <x v="1"/>
    <n v="1"/>
    <x v="0"/>
  </r>
  <r>
    <n v="26984"/>
    <x v="0"/>
    <x v="1"/>
    <x v="0"/>
    <n v="1"/>
    <x v="0"/>
    <s v="Skilled Manual"/>
    <s v="Yes"/>
    <x v="1"/>
    <x v="0"/>
    <x v="0"/>
    <n v="32"/>
    <x v="0"/>
    <x v="1"/>
    <n v="1"/>
    <x v="0"/>
  </r>
  <r>
    <n v="18294"/>
    <x v="0"/>
    <x v="0"/>
    <x v="8"/>
    <n v="1"/>
    <x v="0"/>
    <s v="Professional"/>
    <s v="Yes"/>
    <x v="1"/>
    <x v="2"/>
    <x v="1"/>
    <n v="46"/>
    <x v="0"/>
    <x v="0"/>
    <n v="0"/>
    <x v="2"/>
  </r>
  <r>
    <n v="28564"/>
    <x v="1"/>
    <x v="0"/>
    <x v="0"/>
    <n v="2"/>
    <x v="1"/>
    <s v="Clerical"/>
    <s v="Yes"/>
    <x v="0"/>
    <x v="3"/>
    <x v="0"/>
    <n v="33"/>
    <x v="0"/>
    <x v="1"/>
    <n v="1"/>
    <x v="0"/>
  </r>
  <r>
    <n v="28521"/>
    <x v="1"/>
    <x v="1"/>
    <x v="0"/>
    <n v="0"/>
    <x v="4"/>
    <s v="Clerical"/>
    <s v="No"/>
    <x v="0"/>
    <x v="0"/>
    <x v="0"/>
    <n v="36"/>
    <x v="0"/>
    <x v="1"/>
    <n v="1"/>
    <x v="0"/>
  </r>
  <r>
    <n v="15450"/>
    <x v="0"/>
    <x v="1"/>
    <x v="4"/>
    <n v="1"/>
    <x v="4"/>
    <s v="Clerical"/>
    <s v="Yes"/>
    <x v="0"/>
    <x v="0"/>
    <x v="0"/>
    <n v="70"/>
    <x v="1"/>
    <x v="0"/>
    <n v="0"/>
    <x v="0"/>
  </r>
  <r>
    <n v="25681"/>
    <x v="1"/>
    <x v="0"/>
    <x v="1"/>
    <n v="0"/>
    <x v="1"/>
    <s v="Clerical"/>
    <s v="No"/>
    <x v="1"/>
    <x v="1"/>
    <x v="0"/>
    <n v="31"/>
    <x v="0"/>
    <x v="1"/>
    <n v="1"/>
    <x v="0"/>
  </r>
  <r>
    <n v="19491"/>
    <x v="1"/>
    <x v="1"/>
    <x v="1"/>
    <n v="2"/>
    <x v="1"/>
    <s v="Clerical"/>
    <s v="Yes"/>
    <x v="2"/>
    <x v="0"/>
    <x v="0"/>
    <n v="42"/>
    <x v="0"/>
    <x v="0"/>
    <n v="0"/>
    <x v="0"/>
  </r>
  <r>
    <n v="26415"/>
    <x v="0"/>
    <x v="0"/>
    <x v="8"/>
    <n v="4"/>
    <x v="3"/>
    <s v="Skilled Manual"/>
    <s v="Yes"/>
    <x v="3"/>
    <x v="4"/>
    <x v="0"/>
    <n v="58"/>
    <x v="1"/>
    <x v="0"/>
    <n v="0"/>
    <x v="2"/>
  </r>
  <r>
    <n v="12821"/>
    <x v="0"/>
    <x v="1"/>
    <x v="0"/>
    <n v="0"/>
    <x v="0"/>
    <s v="Clerical"/>
    <s v="Yes"/>
    <x v="0"/>
    <x v="0"/>
    <x v="0"/>
    <n v="39"/>
    <x v="0"/>
    <x v="0"/>
    <n v="0"/>
    <x v="0"/>
  </r>
  <r>
    <n v="15629"/>
    <x v="1"/>
    <x v="0"/>
    <x v="4"/>
    <n v="0"/>
    <x v="3"/>
    <s v="Manual"/>
    <s v="Yes"/>
    <x v="2"/>
    <x v="3"/>
    <x v="0"/>
    <n v="34"/>
    <x v="0"/>
    <x v="0"/>
    <n v="0"/>
    <x v="0"/>
  </r>
  <r>
    <n v="27835"/>
    <x v="0"/>
    <x v="1"/>
    <x v="6"/>
    <n v="0"/>
    <x v="3"/>
    <s v="Manual"/>
    <s v="Yes"/>
    <x v="2"/>
    <x v="0"/>
    <x v="0"/>
    <n v="32"/>
    <x v="0"/>
    <x v="0"/>
    <n v="0"/>
    <x v="0"/>
  </r>
  <r>
    <n v="11738"/>
    <x v="0"/>
    <x v="1"/>
    <x v="10"/>
    <n v="4"/>
    <x v="0"/>
    <s v="Professional"/>
    <s v="Yes"/>
    <x v="0"/>
    <x v="1"/>
    <x v="2"/>
    <n v="46"/>
    <x v="0"/>
    <x v="0"/>
    <n v="0"/>
    <x v="3"/>
  </r>
  <r>
    <n v="25065"/>
    <x v="0"/>
    <x v="1"/>
    <x v="3"/>
    <n v="2"/>
    <x v="3"/>
    <s v="Skilled Manual"/>
    <s v="Yes"/>
    <x v="2"/>
    <x v="2"/>
    <x v="2"/>
    <n v="48"/>
    <x v="0"/>
    <x v="0"/>
    <n v="0"/>
    <x v="1"/>
  </r>
  <r>
    <n v="26238"/>
    <x v="1"/>
    <x v="0"/>
    <x v="0"/>
    <n v="3"/>
    <x v="1"/>
    <s v="Clerical"/>
    <s v="Yes"/>
    <x v="1"/>
    <x v="3"/>
    <x v="2"/>
    <n v="31"/>
    <x v="0"/>
    <x v="1"/>
    <n v="1"/>
    <x v="0"/>
  </r>
  <r>
    <n v="23707"/>
    <x v="1"/>
    <x v="1"/>
    <x v="3"/>
    <n v="5"/>
    <x v="0"/>
    <s v="Management"/>
    <s v="Yes"/>
    <x v="4"/>
    <x v="4"/>
    <x v="2"/>
    <n v="60"/>
    <x v="1"/>
    <x v="1"/>
    <n v="1"/>
    <x v="1"/>
  </r>
  <r>
    <n v="27650"/>
    <x v="0"/>
    <x v="1"/>
    <x v="3"/>
    <n v="4"/>
    <x v="2"/>
    <s v="Professional"/>
    <s v="Yes"/>
    <x v="0"/>
    <x v="2"/>
    <x v="2"/>
    <n v="51"/>
    <x v="0"/>
    <x v="0"/>
    <n v="0"/>
    <x v="1"/>
  </r>
  <r>
    <n v="24981"/>
    <x v="0"/>
    <x v="1"/>
    <x v="10"/>
    <n v="2"/>
    <x v="1"/>
    <s v="Professional"/>
    <s v="Yes"/>
    <x v="2"/>
    <x v="4"/>
    <x v="2"/>
    <n v="56"/>
    <x v="1"/>
    <x v="0"/>
    <n v="0"/>
    <x v="3"/>
  </r>
  <r>
    <n v="20678"/>
    <x v="1"/>
    <x v="0"/>
    <x v="10"/>
    <n v="3"/>
    <x v="0"/>
    <s v="Skilled Manual"/>
    <s v="Yes"/>
    <x v="1"/>
    <x v="1"/>
    <x v="2"/>
    <n v="40"/>
    <x v="0"/>
    <x v="1"/>
    <n v="1"/>
    <x v="3"/>
  </r>
  <r>
    <n v="15302"/>
    <x v="1"/>
    <x v="0"/>
    <x v="3"/>
    <n v="1"/>
    <x v="4"/>
    <s v="Professional"/>
    <s v="Yes"/>
    <x v="0"/>
    <x v="1"/>
    <x v="2"/>
    <n v="34"/>
    <x v="0"/>
    <x v="1"/>
    <n v="1"/>
    <x v="1"/>
  </r>
  <r>
    <n v="26012"/>
    <x v="0"/>
    <x v="1"/>
    <x v="2"/>
    <n v="1"/>
    <x v="1"/>
    <s v="Skilled Manual"/>
    <s v="Yes"/>
    <x v="1"/>
    <x v="1"/>
    <x v="2"/>
    <n v="48"/>
    <x v="0"/>
    <x v="1"/>
    <n v="1"/>
    <x v="1"/>
  </r>
  <r>
    <n v="26575"/>
    <x v="1"/>
    <x v="0"/>
    <x v="0"/>
    <n v="0"/>
    <x v="2"/>
    <s v="Skilled Manual"/>
    <s v="No"/>
    <x v="2"/>
    <x v="3"/>
    <x v="2"/>
    <n v="31"/>
    <x v="0"/>
    <x v="1"/>
    <n v="1"/>
    <x v="0"/>
  </r>
  <r>
    <n v="15559"/>
    <x v="0"/>
    <x v="1"/>
    <x v="10"/>
    <n v="5"/>
    <x v="0"/>
    <s v="Professional"/>
    <s v="Yes"/>
    <x v="1"/>
    <x v="1"/>
    <x v="2"/>
    <n v="47"/>
    <x v="0"/>
    <x v="0"/>
    <n v="0"/>
    <x v="3"/>
  </r>
  <r>
    <n v="19235"/>
    <x v="0"/>
    <x v="0"/>
    <x v="14"/>
    <n v="0"/>
    <x v="4"/>
    <s v="Skilled Manual"/>
    <s v="Yes"/>
    <x v="0"/>
    <x v="0"/>
    <x v="2"/>
    <n v="34"/>
    <x v="0"/>
    <x v="0"/>
    <n v="0"/>
    <x v="3"/>
  </r>
  <r>
    <n v="15275"/>
    <x v="0"/>
    <x v="1"/>
    <x v="0"/>
    <n v="0"/>
    <x v="1"/>
    <s v="Skilled Manual"/>
    <s v="Yes"/>
    <x v="1"/>
    <x v="2"/>
    <x v="2"/>
    <n v="29"/>
    <x v="2"/>
    <x v="0"/>
    <n v="0"/>
    <x v="0"/>
  </r>
  <r>
    <n v="20339"/>
    <x v="0"/>
    <x v="0"/>
    <x v="12"/>
    <n v="1"/>
    <x v="0"/>
    <s v="Management"/>
    <s v="Yes"/>
    <x v="3"/>
    <x v="1"/>
    <x v="2"/>
    <n v="44"/>
    <x v="0"/>
    <x v="1"/>
    <n v="1"/>
    <x v="2"/>
  </r>
  <r>
    <n v="25405"/>
    <x v="0"/>
    <x v="1"/>
    <x v="3"/>
    <n v="2"/>
    <x v="0"/>
    <s v="Skilled Manual"/>
    <s v="Yes"/>
    <x v="1"/>
    <x v="1"/>
    <x v="2"/>
    <n v="38"/>
    <x v="0"/>
    <x v="1"/>
    <n v="1"/>
    <x v="1"/>
  </r>
  <r>
    <n v="15940"/>
    <x v="0"/>
    <x v="1"/>
    <x v="11"/>
    <n v="4"/>
    <x v="1"/>
    <s v="Professional"/>
    <s v="Yes"/>
    <x v="3"/>
    <x v="0"/>
    <x v="2"/>
    <n v="40"/>
    <x v="0"/>
    <x v="0"/>
    <n v="0"/>
    <x v="2"/>
  </r>
  <r>
    <n v="25074"/>
    <x v="0"/>
    <x v="0"/>
    <x v="3"/>
    <n v="4"/>
    <x v="0"/>
    <s v="Professional"/>
    <s v="Yes"/>
    <x v="2"/>
    <x v="1"/>
    <x v="2"/>
    <n v="42"/>
    <x v="0"/>
    <x v="1"/>
    <n v="1"/>
    <x v="1"/>
  </r>
  <r>
    <n v="24738"/>
    <x v="0"/>
    <x v="0"/>
    <x v="0"/>
    <n v="1"/>
    <x v="1"/>
    <s v="Clerical"/>
    <s v="Yes"/>
    <x v="1"/>
    <x v="3"/>
    <x v="2"/>
    <n v="51"/>
    <x v="0"/>
    <x v="1"/>
    <n v="1"/>
    <x v="0"/>
  </r>
  <r>
    <n v="16337"/>
    <x v="0"/>
    <x v="1"/>
    <x v="10"/>
    <n v="0"/>
    <x v="1"/>
    <s v="Skilled Manual"/>
    <s v="No"/>
    <x v="2"/>
    <x v="3"/>
    <x v="2"/>
    <n v="29"/>
    <x v="2"/>
    <x v="0"/>
    <n v="0"/>
    <x v="3"/>
  </r>
  <r>
    <n v="24357"/>
    <x v="0"/>
    <x v="1"/>
    <x v="2"/>
    <n v="3"/>
    <x v="0"/>
    <s v="Professional"/>
    <s v="Yes"/>
    <x v="1"/>
    <x v="1"/>
    <x v="2"/>
    <n v="48"/>
    <x v="0"/>
    <x v="1"/>
    <n v="1"/>
    <x v="1"/>
  </r>
  <r>
    <n v="18613"/>
    <x v="1"/>
    <x v="1"/>
    <x v="3"/>
    <n v="0"/>
    <x v="0"/>
    <s v="Professional"/>
    <s v="No"/>
    <x v="1"/>
    <x v="1"/>
    <x v="2"/>
    <n v="37"/>
    <x v="0"/>
    <x v="1"/>
    <n v="1"/>
    <x v="1"/>
  </r>
  <r>
    <n v="12207"/>
    <x v="1"/>
    <x v="1"/>
    <x v="2"/>
    <n v="4"/>
    <x v="0"/>
    <s v="Management"/>
    <s v="Yes"/>
    <x v="0"/>
    <x v="2"/>
    <x v="2"/>
    <n v="66"/>
    <x v="1"/>
    <x v="1"/>
    <n v="1"/>
    <x v="1"/>
  </r>
  <r>
    <n v="18052"/>
    <x v="0"/>
    <x v="0"/>
    <x v="10"/>
    <n v="1"/>
    <x v="1"/>
    <s v="Skilled Manual"/>
    <s v="Yes"/>
    <x v="1"/>
    <x v="0"/>
    <x v="2"/>
    <n v="45"/>
    <x v="0"/>
    <x v="1"/>
    <n v="1"/>
    <x v="3"/>
  </r>
  <r>
    <n v="13353"/>
    <x v="1"/>
    <x v="0"/>
    <x v="10"/>
    <n v="4"/>
    <x v="4"/>
    <s v="Management"/>
    <s v="Yes"/>
    <x v="2"/>
    <x v="4"/>
    <x v="2"/>
    <n v="61"/>
    <x v="1"/>
    <x v="1"/>
    <n v="1"/>
    <x v="3"/>
  </r>
  <r>
    <n v="19399"/>
    <x v="1"/>
    <x v="1"/>
    <x v="0"/>
    <n v="0"/>
    <x v="0"/>
    <s v="Professional"/>
    <s v="No"/>
    <x v="1"/>
    <x v="1"/>
    <x v="2"/>
    <n v="45"/>
    <x v="0"/>
    <x v="0"/>
    <n v="0"/>
    <x v="0"/>
  </r>
  <r>
    <n v="16154"/>
    <x v="0"/>
    <x v="0"/>
    <x v="3"/>
    <n v="5"/>
    <x v="0"/>
    <s v="Professional"/>
    <s v="Yes"/>
    <x v="2"/>
    <x v="1"/>
    <x v="2"/>
    <n v="47"/>
    <x v="0"/>
    <x v="0"/>
    <n v="0"/>
    <x v="1"/>
  </r>
  <r>
    <n v="22219"/>
    <x v="0"/>
    <x v="0"/>
    <x v="10"/>
    <n v="2"/>
    <x v="2"/>
    <s v="Professional"/>
    <s v="Yes"/>
    <x v="2"/>
    <x v="2"/>
    <x v="2"/>
    <n v="49"/>
    <x v="0"/>
    <x v="0"/>
    <n v="0"/>
    <x v="3"/>
  </r>
  <r>
    <n v="17269"/>
    <x v="1"/>
    <x v="1"/>
    <x v="10"/>
    <n v="3"/>
    <x v="0"/>
    <s v="Professional"/>
    <s v="No"/>
    <x v="0"/>
    <x v="0"/>
    <x v="2"/>
    <n v="47"/>
    <x v="0"/>
    <x v="1"/>
    <n v="1"/>
    <x v="3"/>
  </r>
  <r>
    <n v="23586"/>
    <x v="0"/>
    <x v="0"/>
    <x v="2"/>
    <n v="0"/>
    <x v="0"/>
    <s v="Management"/>
    <s v="Yes"/>
    <x v="1"/>
    <x v="3"/>
    <x v="2"/>
    <n v="34"/>
    <x v="0"/>
    <x v="1"/>
    <n v="1"/>
    <x v="1"/>
  </r>
  <r>
    <n v="15740"/>
    <x v="0"/>
    <x v="1"/>
    <x v="2"/>
    <n v="5"/>
    <x v="0"/>
    <s v="Management"/>
    <s v="Yes"/>
    <x v="2"/>
    <x v="3"/>
    <x v="2"/>
    <n v="64"/>
    <x v="1"/>
    <x v="0"/>
    <n v="0"/>
    <x v="1"/>
  </r>
  <r>
    <n v="27638"/>
    <x v="1"/>
    <x v="1"/>
    <x v="11"/>
    <n v="1"/>
    <x v="1"/>
    <s v="Professional"/>
    <s v="No"/>
    <x v="4"/>
    <x v="3"/>
    <x v="2"/>
    <n v="44"/>
    <x v="0"/>
    <x v="0"/>
    <n v="0"/>
    <x v="2"/>
  </r>
  <r>
    <n v="18976"/>
    <x v="1"/>
    <x v="1"/>
    <x v="0"/>
    <n v="4"/>
    <x v="2"/>
    <s v="Professional"/>
    <s v="Yes"/>
    <x v="2"/>
    <x v="4"/>
    <x v="2"/>
    <n v="62"/>
    <x v="1"/>
    <x v="1"/>
    <n v="1"/>
    <x v="0"/>
  </r>
  <r>
    <n v="19413"/>
    <x v="1"/>
    <x v="1"/>
    <x v="10"/>
    <n v="3"/>
    <x v="0"/>
    <s v="Professional"/>
    <s v="No"/>
    <x v="1"/>
    <x v="0"/>
    <x v="2"/>
    <n v="47"/>
    <x v="0"/>
    <x v="1"/>
    <n v="1"/>
    <x v="3"/>
  </r>
  <r>
    <n v="13283"/>
    <x v="0"/>
    <x v="1"/>
    <x v="2"/>
    <n v="3"/>
    <x v="1"/>
    <s v="Professional"/>
    <s v="No"/>
    <x v="2"/>
    <x v="0"/>
    <x v="2"/>
    <n v="49"/>
    <x v="0"/>
    <x v="1"/>
    <n v="1"/>
    <x v="1"/>
  </r>
  <r>
    <n v="17471"/>
    <x v="1"/>
    <x v="0"/>
    <x v="2"/>
    <n v="4"/>
    <x v="4"/>
    <s v="Management"/>
    <s v="Yes"/>
    <x v="2"/>
    <x v="2"/>
    <x v="2"/>
    <n v="67"/>
    <x v="1"/>
    <x v="0"/>
    <n v="0"/>
    <x v="1"/>
  </r>
  <r>
    <n v="16791"/>
    <x v="1"/>
    <x v="1"/>
    <x v="10"/>
    <n v="5"/>
    <x v="0"/>
    <s v="Management"/>
    <s v="Yes"/>
    <x v="4"/>
    <x v="4"/>
    <x v="2"/>
    <n v="59"/>
    <x v="1"/>
    <x v="1"/>
    <n v="1"/>
    <x v="3"/>
  </r>
  <r>
    <n v="15382"/>
    <x v="0"/>
    <x v="0"/>
    <x v="15"/>
    <n v="1"/>
    <x v="0"/>
    <s v="Management"/>
    <s v="Yes"/>
    <x v="2"/>
    <x v="3"/>
    <x v="2"/>
    <n v="44"/>
    <x v="0"/>
    <x v="0"/>
    <n v="0"/>
    <x v="2"/>
  </r>
  <r>
    <n v="11641"/>
    <x v="0"/>
    <x v="1"/>
    <x v="14"/>
    <n v="1"/>
    <x v="0"/>
    <s v="Skilled Manual"/>
    <s v="Yes"/>
    <x v="0"/>
    <x v="0"/>
    <x v="2"/>
    <n v="36"/>
    <x v="0"/>
    <x v="0"/>
    <n v="0"/>
    <x v="3"/>
  </r>
  <r>
    <n v="11935"/>
    <x v="1"/>
    <x v="0"/>
    <x v="1"/>
    <n v="0"/>
    <x v="1"/>
    <s v="Skilled Manual"/>
    <s v="Yes"/>
    <x v="1"/>
    <x v="2"/>
    <x v="2"/>
    <n v="28"/>
    <x v="2"/>
    <x v="0"/>
    <n v="0"/>
    <x v="0"/>
  </r>
  <r>
    <n v="13233"/>
    <x v="0"/>
    <x v="1"/>
    <x v="10"/>
    <n v="2"/>
    <x v="1"/>
    <s v="Professional"/>
    <s v="Yes"/>
    <x v="1"/>
    <x v="4"/>
    <x v="2"/>
    <n v="57"/>
    <x v="1"/>
    <x v="1"/>
    <n v="1"/>
    <x v="3"/>
  </r>
  <r>
    <n v="25909"/>
    <x v="0"/>
    <x v="1"/>
    <x v="10"/>
    <n v="0"/>
    <x v="1"/>
    <s v="Skilled Manual"/>
    <s v="Yes"/>
    <x v="1"/>
    <x v="2"/>
    <x v="2"/>
    <n v="27"/>
    <x v="2"/>
    <x v="1"/>
    <n v="1"/>
    <x v="3"/>
  </r>
  <r>
    <n v="14092"/>
    <x v="1"/>
    <x v="1"/>
    <x v="1"/>
    <n v="0"/>
    <x v="3"/>
    <s v="Clerical"/>
    <s v="Yes"/>
    <x v="2"/>
    <x v="2"/>
    <x v="2"/>
    <n v="28"/>
    <x v="2"/>
    <x v="0"/>
    <n v="0"/>
    <x v="0"/>
  </r>
  <r>
    <n v="29143"/>
    <x v="1"/>
    <x v="0"/>
    <x v="10"/>
    <n v="1"/>
    <x v="0"/>
    <s v="Professional"/>
    <s v="No"/>
    <x v="1"/>
    <x v="0"/>
    <x v="2"/>
    <n v="44"/>
    <x v="0"/>
    <x v="1"/>
    <n v="1"/>
    <x v="3"/>
  </r>
  <r>
    <n v="24941"/>
    <x v="0"/>
    <x v="1"/>
    <x v="10"/>
    <n v="3"/>
    <x v="0"/>
    <s v="Management"/>
    <s v="Yes"/>
    <x v="2"/>
    <x v="4"/>
    <x v="2"/>
    <n v="66"/>
    <x v="1"/>
    <x v="0"/>
    <n v="0"/>
    <x v="3"/>
  </r>
  <r>
    <n v="24637"/>
    <x v="0"/>
    <x v="1"/>
    <x v="0"/>
    <n v="4"/>
    <x v="2"/>
    <s v="Professional"/>
    <s v="Yes"/>
    <x v="2"/>
    <x v="4"/>
    <x v="2"/>
    <n v="64"/>
    <x v="1"/>
    <x v="0"/>
    <n v="0"/>
    <x v="0"/>
  </r>
  <r>
    <n v="23893"/>
    <x v="0"/>
    <x v="1"/>
    <x v="14"/>
    <n v="3"/>
    <x v="0"/>
    <s v="Skilled Manual"/>
    <s v="Yes"/>
    <x v="4"/>
    <x v="4"/>
    <x v="2"/>
    <n v="41"/>
    <x v="0"/>
    <x v="0"/>
    <n v="0"/>
    <x v="3"/>
  </r>
  <r>
    <n v="13907"/>
    <x v="1"/>
    <x v="0"/>
    <x v="2"/>
    <n v="3"/>
    <x v="0"/>
    <s v="Skilled Manual"/>
    <s v="Yes"/>
    <x v="1"/>
    <x v="0"/>
    <x v="2"/>
    <n v="41"/>
    <x v="0"/>
    <x v="1"/>
    <n v="1"/>
    <x v="1"/>
  </r>
  <r>
    <n v="14900"/>
    <x v="0"/>
    <x v="0"/>
    <x v="0"/>
    <n v="1"/>
    <x v="1"/>
    <s v="Clerical"/>
    <s v="Yes"/>
    <x v="1"/>
    <x v="3"/>
    <x v="2"/>
    <n v="49"/>
    <x v="0"/>
    <x v="1"/>
    <n v="1"/>
    <x v="0"/>
  </r>
  <r>
    <n v="11262"/>
    <x v="0"/>
    <x v="0"/>
    <x v="2"/>
    <n v="4"/>
    <x v="0"/>
    <s v="Management"/>
    <s v="Yes"/>
    <x v="0"/>
    <x v="0"/>
    <x v="2"/>
    <n v="42"/>
    <x v="0"/>
    <x v="0"/>
    <n v="0"/>
    <x v="1"/>
  </r>
  <r>
    <n v="22294"/>
    <x v="1"/>
    <x v="0"/>
    <x v="3"/>
    <n v="0"/>
    <x v="0"/>
    <s v="Professional"/>
    <s v="No"/>
    <x v="1"/>
    <x v="1"/>
    <x v="2"/>
    <n v="37"/>
    <x v="0"/>
    <x v="1"/>
    <n v="1"/>
    <x v="1"/>
  </r>
  <r>
    <n v="12195"/>
    <x v="1"/>
    <x v="0"/>
    <x v="3"/>
    <n v="3"/>
    <x v="4"/>
    <s v="Management"/>
    <s v="Yes"/>
    <x v="2"/>
    <x v="3"/>
    <x v="2"/>
    <n v="52"/>
    <x v="0"/>
    <x v="0"/>
    <n v="0"/>
    <x v="1"/>
  </r>
  <r>
    <n v="25375"/>
    <x v="0"/>
    <x v="1"/>
    <x v="14"/>
    <n v="1"/>
    <x v="4"/>
    <s v="Skilled Manual"/>
    <s v="Yes"/>
    <x v="0"/>
    <x v="3"/>
    <x v="2"/>
    <n v="34"/>
    <x v="0"/>
    <x v="0"/>
    <n v="0"/>
    <x v="3"/>
  </r>
  <r>
    <n v="11143"/>
    <x v="0"/>
    <x v="1"/>
    <x v="0"/>
    <n v="0"/>
    <x v="2"/>
    <s v="Skilled Manual"/>
    <s v="Yes"/>
    <x v="2"/>
    <x v="2"/>
    <x v="2"/>
    <n v="29"/>
    <x v="2"/>
    <x v="0"/>
    <n v="0"/>
    <x v="0"/>
  </r>
  <r>
    <n v="25898"/>
    <x v="0"/>
    <x v="0"/>
    <x v="3"/>
    <n v="2"/>
    <x v="2"/>
    <s v="Professional"/>
    <s v="Yes"/>
    <x v="2"/>
    <x v="1"/>
    <x v="2"/>
    <n v="53"/>
    <x v="0"/>
    <x v="0"/>
    <n v="0"/>
    <x v="1"/>
  </r>
  <r>
    <n v="24397"/>
    <x v="1"/>
    <x v="1"/>
    <x v="7"/>
    <n v="2"/>
    <x v="0"/>
    <s v="Management"/>
    <s v="No"/>
    <x v="3"/>
    <x v="3"/>
    <x v="2"/>
    <n v="40"/>
    <x v="0"/>
    <x v="0"/>
    <n v="0"/>
    <x v="2"/>
  </r>
  <r>
    <n v="19758"/>
    <x v="1"/>
    <x v="1"/>
    <x v="10"/>
    <n v="0"/>
    <x v="1"/>
    <s v="Skilled Manual"/>
    <s v="No"/>
    <x v="2"/>
    <x v="3"/>
    <x v="2"/>
    <n v="29"/>
    <x v="2"/>
    <x v="0"/>
    <n v="0"/>
    <x v="3"/>
  </r>
  <r>
    <n v="15529"/>
    <x v="0"/>
    <x v="1"/>
    <x v="10"/>
    <n v="4"/>
    <x v="0"/>
    <s v="Professional"/>
    <s v="Yes"/>
    <x v="2"/>
    <x v="1"/>
    <x v="2"/>
    <n v="43"/>
    <x v="0"/>
    <x v="1"/>
    <n v="1"/>
    <x v="3"/>
  </r>
  <r>
    <n v="19884"/>
    <x v="0"/>
    <x v="1"/>
    <x v="10"/>
    <n v="2"/>
    <x v="2"/>
    <s v="Professional"/>
    <s v="Yes"/>
    <x v="2"/>
    <x v="1"/>
    <x v="2"/>
    <n v="55"/>
    <x v="0"/>
    <x v="1"/>
    <n v="1"/>
    <x v="3"/>
  </r>
  <r>
    <n v="18674"/>
    <x v="1"/>
    <x v="0"/>
    <x v="2"/>
    <n v="4"/>
    <x v="4"/>
    <s v="Skilled Manual"/>
    <s v="No"/>
    <x v="0"/>
    <x v="0"/>
    <x v="2"/>
    <n v="48"/>
    <x v="0"/>
    <x v="0"/>
    <n v="0"/>
    <x v="1"/>
  </r>
  <r>
    <n v="13453"/>
    <x v="0"/>
    <x v="0"/>
    <x v="12"/>
    <n v="3"/>
    <x v="0"/>
    <s v="Management"/>
    <s v="Yes"/>
    <x v="4"/>
    <x v="0"/>
    <x v="2"/>
    <n v="45"/>
    <x v="0"/>
    <x v="1"/>
    <n v="1"/>
    <x v="2"/>
  </r>
  <r>
    <n v="14063"/>
    <x v="1"/>
    <x v="0"/>
    <x v="3"/>
    <n v="0"/>
    <x v="0"/>
    <s v="Professional"/>
    <s v="No"/>
    <x v="1"/>
    <x v="0"/>
    <x v="1"/>
    <n v="42"/>
    <x v="0"/>
    <x v="1"/>
    <n v="1"/>
    <x v="1"/>
  </r>
  <r>
    <n v="27393"/>
    <x v="0"/>
    <x v="0"/>
    <x v="14"/>
    <n v="4"/>
    <x v="0"/>
    <s v="Management"/>
    <s v="Yes"/>
    <x v="2"/>
    <x v="4"/>
    <x v="2"/>
    <n v="63"/>
    <x v="1"/>
    <x v="0"/>
    <n v="0"/>
    <x v="3"/>
  </r>
  <r>
    <n v="14417"/>
    <x v="1"/>
    <x v="1"/>
    <x v="10"/>
    <n v="3"/>
    <x v="2"/>
    <s v="Professional"/>
    <s v="Yes"/>
    <x v="2"/>
    <x v="4"/>
    <x v="2"/>
    <n v="54"/>
    <x v="0"/>
    <x v="1"/>
    <n v="1"/>
    <x v="3"/>
  </r>
  <r>
    <n v="17533"/>
    <x v="0"/>
    <x v="1"/>
    <x v="0"/>
    <n v="3"/>
    <x v="1"/>
    <s v="Professional"/>
    <s v="No"/>
    <x v="2"/>
    <x v="2"/>
    <x v="2"/>
    <n v="73"/>
    <x v="1"/>
    <x v="1"/>
    <n v="1"/>
    <x v="0"/>
  </r>
  <r>
    <n v="18580"/>
    <x v="0"/>
    <x v="0"/>
    <x v="10"/>
    <n v="2"/>
    <x v="4"/>
    <s v="Professional"/>
    <s v="Yes"/>
    <x v="0"/>
    <x v="1"/>
    <x v="2"/>
    <n v="40"/>
    <x v="0"/>
    <x v="1"/>
    <n v="1"/>
    <x v="3"/>
  </r>
  <r>
    <n v="17025"/>
    <x v="1"/>
    <x v="1"/>
    <x v="14"/>
    <n v="0"/>
    <x v="1"/>
    <s v="Skilled Manual"/>
    <s v="No"/>
    <x v="1"/>
    <x v="1"/>
    <x v="2"/>
    <n v="39"/>
    <x v="0"/>
    <x v="1"/>
    <n v="1"/>
    <x v="3"/>
  </r>
  <r>
    <n v="25293"/>
    <x v="0"/>
    <x v="1"/>
    <x v="2"/>
    <n v="4"/>
    <x v="0"/>
    <s v="Management"/>
    <s v="Yes"/>
    <x v="0"/>
    <x v="3"/>
    <x v="2"/>
    <n v="42"/>
    <x v="0"/>
    <x v="0"/>
    <n v="0"/>
    <x v="1"/>
  </r>
  <r>
    <n v="24725"/>
    <x v="0"/>
    <x v="0"/>
    <x v="0"/>
    <n v="3"/>
    <x v="1"/>
    <s v="Clerical"/>
    <s v="Yes"/>
    <x v="0"/>
    <x v="3"/>
    <x v="2"/>
    <n v="31"/>
    <x v="0"/>
    <x v="0"/>
    <n v="0"/>
    <x v="0"/>
  </r>
  <r>
    <n v="23200"/>
    <x v="0"/>
    <x v="0"/>
    <x v="14"/>
    <n v="3"/>
    <x v="0"/>
    <s v="Skilled Manual"/>
    <s v="Yes"/>
    <x v="2"/>
    <x v="0"/>
    <x v="2"/>
    <n v="41"/>
    <x v="0"/>
    <x v="0"/>
    <n v="0"/>
    <x v="3"/>
  </r>
  <r>
    <n v="15895"/>
    <x v="1"/>
    <x v="0"/>
    <x v="10"/>
    <n v="2"/>
    <x v="0"/>
    <s v="Management"/>
    <s v="Yes"/>
    <x v="0"/>
    <x v="4"/>
    <x v="2"/>
    <n v="58"/>
    <x v="1"/>
    <x v="0"/>
    <n v="0"/>
    <x v="3"/>
  </r>
  <r>
    <n v="18577"/>
    <x v="0"/>
    <x v="0"/>
    <x v="10"/>
    <n v="0"/>
    <x v="4"/>
    <s v="Professional"/>
    <s v="Yes"/>
    <x v="0"/>
    <x v="0"/>
    <x v="2"/>
    <n v="40"/>
    <x v="0"/>
    <x v="0"/>
    <n v="0"/>
    <x v="3"/>
  </r>
  <r>
    <n v="27218"/>
    <x v="0"/>
    <x v="0"/>
    <x v="6"/>
    <n v="2"/>
    <x v="3"/>
    <s v="Clerical"/>
    <s v="No"/>
    <x v="0"/>
    <x v="0"/>
    <x v="2"/>
    <n v="48"/>
    <x v="0"/>
    <x v="0"/>
    <n v="0"/>
    <x v="0"/>
  </r>
  <r>
    <n v="18560"/>
    <x v="0"/>
    <x v="0"/>
    <x v="3"/>
    <n v="2"/>
    <x v="4"/>
    <s v="Professional"/>
    <s v="Yes"/>
    <x v="0"/>
    <x v="1"/>
    <x v="2"/>
    <n v="34"/>
    <x v="0"/>
    <x v="1"/>
    <n v="1"/>
    <x v="1"/>
  </r>
  <r>
    <n v="25006"/>
    <x v="1"/>
    <x v="0"/>
    <x v="1"/>
    <n v="0"/>
    <x v="1"/>
    <s v="Skilled Manual"/>
    <s v="Yes"/>
    <x v="1"/>
    <x v="2"/>
    <x v="2"/>
    <n v="28"/>
    <x v="2"/>
    <x v="0"/>
    <n v="0"/>
    <x v="0"/>
  </r>
  <r>
    <n v="17369"/>
    <x v="1"/>
    <x v="1"/>
    <x v="1"/>
    <n v="0"/>
    <x v="1"/>
    <s v="Skilled Manual"/>
    <s v="Yes"/>
    <x v="1"/>
    <x v="2"/>
    <x v="2"/>
    <n v="27"/>
    <x v="2"/>
    <x v="0"/>
    <n v="0"/>
    <x v="0"/>
  </r>
  <r>
    <n v="14495"/>
    <x v="0"/>
    <x v="1"/>
    <x v="0"/>
    <n v="3"/>
    <x v="1"/>
    <s v="Professional"/>
    <s v="No"/>
    <x v="2"/>
    <x v="2"/>
    <x v="2"/>
    <n v="54"/>
    <x v="0"/>
    <x v="1"/>
    <n v="1"/>
    <x v="0"/>
  </r>
  <r>
    <n v="18847"/>
    <x v="0"/>
    <x v="0"/>
    <x v="10"/>
    <n v="2"/>
    <x v="4"/>
    <s v="Management"/>
    <s v="Yes"/>
    <x v="2"/>
    <x v="2"/>
    <x v="2"/>
    <n v="70"/>
    <x v="1"/>
    <x v="0"/>
    <n v="0"/>
    <x v="3"/>
  </r>
  <r>
    <n v="14754"/>
    <x v="0"/>
    <x v="1"/>
    <x v="0"/>
    <n v="1"/>
    <x v="1"/>
    <s v="Clerical"/>
    <s v="Yes"/>
    <x v="1"/>
    <x v="3"/>
    <x v="2"/>
    <n v="48"/>
    <x v="0"/>
    <x v="1"/>
    <n v="1"/>
    <x v="0"/>
  </r>
  <r>
    <n v="23378"/>
    <x v="0"/>
    <x v="1"/>
    <x v="3"/>
    <n v="1"/>
    <x v="1"/>
    <s v="Skilled Manual"/>
    <s v="Yes"/>
    <x v="1"/>
    <x v="1"/>
    <x v="2"/>
    <n v="44"/>
    <x v="0"/>
    <x v="1"/>
    <n v="1"/>
    <x v="1"/>
  </r>
  <r>
    <n v="26452"/>
    <x v="1"/>
    <x v="1"/>
    <x v="14"/>
    <n v="3"/>
    <x v="4"/>
    <s v="Management"/>
    <s v="Yes"/>
    <x v="2"/>
    <x v="4"/>
    <x v="2"/>
    <n v="69"/>
    <x v="1"/>
    <x v="0"/>
    <n v="0"/>
    <x v="3"/>
  </r>
  <r>
    <n v="20370"/>
    <x v="0"/>
    <x v="1"/>
    <x v="3"/>
    <n v="3"/>
    <x v="3"/>
    <s v="Skilled Manual"/>
    <s v="Yes"/>
    <x v="2"/>
    <x v="2"/>
    <x v="2"/>
    <n v="52"/>
    <x v="0"/>
    <x v="0"/>
    <n v="0"/>
    <x v="1"/>
  </r>
  <r>
    <n v="20528"/>
    <x v="0"/>
    <x v="1"/>
    <x v="0"/>
    <n v="2"/>
    <x v="3"/>
    <s v="Skilled Manual"/>
    <s v="Yes"/>
    <x v="2"/>
    <x v="1"/>
    <x v="2"/>
    <n v="55"/>
    <x v="0"/>
    <x v="0"/>
    <n v="0"/>
    <x v="0"/>
  </r>
  <r>
    <n v="23549"/>
    <x v="1"/>
    <x v="1"/>
    <x v="1"/>
    <n v="0"/>
    <x v="2"/>
    <s v="Skilled Manual"/>
    <s v="Yes"/>
    <x v="2"/>
    <x v="2"/>
    <x v="2"/>
    <n v="30"/>
    <x v="2"/>
    <x v="0"/>
    <n v="0"/>
    <x v="0"/>
  </r>
  <r>
    <n v="21751"/>
    <x v="0"/>
    <x v="1"/>
    <x v="10"/>
    <n v="3"/>
    <x v="4"/>
    <s v="Management"/>
    <s v="Yes"/>
    <x v="2"/>
    <x v="3"/>
    <x v="2"/>
    <n v="63"/>
    <x v="1"/>
    <x v="0"/>
    <n v="0"/>
    <x v="3"/>
  </r>
  <r>
    <n v="21266"/>
    <x v="1"/>
    <x v="0"/>
    <x v="2"/>
    <n v="0"/>
    <x v="0"/>
    <s v="Management"/>
    <s v="Yes"/>
    <x v="1"/>
    <x v="3"/>
    <x v="2"/>
    <n v="34"/>
    <x v="0"/>
    <x v="1"/>
    <n v="1"/>
    <x v="1"/>
  </r>
  <r>
    <n v="13388"/>
    <x v="1"/>
    <x v="1"/>
    <x v="10"/>
    <n v="2"/>
    <x v="1"/>
    <s v="Professional"/>
    <s v="Yes"/>
    <x v="1"/>
    <x v="4"/>
    <x v="2"/>
    <n v="56"/>
    <x v="1"/>
    <x v="0"/>
    <n v="0"/>
    <x v="3"/>
  </r>
  <r>
    <n v="18752"/>
    <x v="1"/>
    <x v="0"/>
    <x v="0"/>
    <n v="0"/>
    <x v="2"/>
    <s v="Skilled Manual"/>
    <s v="Yes"/>
    <x v="1"/>
    <x v="2"/>
    <x v="2"/>
    <n v="31"/>
    <x v="0"/>
    <x v="0"/>
    <n v="0"/>
    <x v="0"/>
  </r>
  <r>
    <n v="16917"/>
    <x v="0"/>
    <x v="1"/>
    <x v="7"/>
    <n v="1"/>
    <x v="0"/>
    <s v="Management"/>
    <s v="Yes"/>
    <x v="3"/>
    <x v="0"/>
    <x v="2"/>
    <n v="38"/>
    <x v="0"/>
    <x v="0"/>
    <n v="0"/>
    <x v="2"/>
  </r>
  <r>
    <n v="15313"/>
    <x v="0"/>
    <x v="1"/>
    <x v="10"/>
    <n v="4"/>
    <x v="0"/>
    <s v="Management"/>
    <s v="Yes"/>
    <x v="2"/>
    <x v="1"/>
    <x v="2"/>
    <n v="59"/>
    <x v="1"/>
    <x v="0"/>
    <n v="0"/>
    <x v="3"/>
  </r>
  <r>
    <n v="25329"/>
    <x v="1"/>
    <x v="0"/>
    <x v="0"/>
    <n v="3"/>
    <x v="1"/>
    <s v="Clerical"/>
    <s v="No"/>
    <x v="2"/>
    <x v="0"/>
    <x v="2"/>
    <n v="32"/>
    <x v="0"/>
    <x v="0"/>
    <n v="0"/>
    <x v="0"/>
  </r>
  <r>
    <n v="20380"/>
    <x v="0"/>
    <x v="0"/>
    <x v="10"/>
    <n v="3"/>
    <x v="4"/>
    <s v="Management"/>
    <s v="Yes"/>
    <x v="2"/>
    <x v="4"/>
    <x v="2"/>
    <n v="69"/>
    <x v="1"/>
    <x v="0"/>
    <n v="0"/>
    <x v="3"/>
  </r>
  <r>
    <n v="23089"/>
    <x v="0"/>
    <x v="1"/>
    <x v="0"/>
    <n v="0"/>
    <x v="1"/>
    <s v="Skilled Manual"/>
    <s v="Yes"/>
    <x v="1"/>
    <x v="2"/>
    <x v="2"/>
    <n v="28"/>
    <x v="2"/>
    <x v="0"/>
    <n v="0"/>
    <x v="0"/>
  </r>
  <r>
    <n v="13749"/>
    <x v="0"/>
    <x v="1"/>
    <x v="2"/>
    <n v="4"/>
    <x v="4"/>
    <s v="Skilled Manual"/>
    <s v="Yes"/>
    <x v="0"/>
    <x v="3"/>
    <x v="2"/>
    <n v="47"/>
    <x v="0"/>
    <x v="0"/>
    <n v="0"/>
    <x v="1"/>
  </r>
  <r>
    <n v="24943"/>
    <x v="0"/>
    <x v="1"/>
    <x v="10"/>
    <n v="3"/>
    <x v="0"/>
    <s v="Management"/>
    <s v="Yes"/>
    <x v="2"/>
    <x v="4"/>
    <x v="2"/>
    <n v="66"/>
    <x v="1"/>
    <x v="0"/>
    <n v="0"/>
    <x v="3"/>
  </r>
  <r>
    <n v="28667"/>
    <x v="1"/>
    <x v="1"/>
    <x v="3"/>
    <n v="2"/>
    <x v="0"/>
    <s v="Skilled Manual"/>
    <s v="No"/>
    <x v="1"/>
    <x v="0"/>
    <x v="2"/>
    <n v="37"/>
    <x v="0"/>
    <x v="1"/>
    <n v="1"/>
    <x v="1"/>
  </r>
  <r>
    <n v="15194"/>
    <x v="1"/>
    <x v="1"/>
    <x v="7"/>
    <n v="2"/>
    <x v="0"/>
    <s v="Management"/>
    <s v="No"/>
    <x v="4"/>
    <x v="0"/>
    <x v="2"/>
    <n v="39"/>
    <x v="0"/>
    <x v="1"/>
    <n v="1"/>
    <x v="2"/>
  </r>
  <r>
    <n v="17436"/>
    <x v="0"/>
    <x v="1"/>
    <x v="10"/>
    <n v="2"/>
    <x v="2"/>
    <s v="Professional"/>
    <s v="No"/>
    <x v="2"/>
    <x v="3"/>
    <x v="2"/>
    <n v="51"/>
    <x v="0"/>
    <x v="0"/>
    <n v="0"/>
    <x v="3"/>
  </r>
  <r>
    <n v="18935"/>
    <x v="0"/>
    <x v="0"/>
    <x v="12"/>
    <n v="0"/>
    <x v="4"/>
    <s v="Management"/>
    <s v="Yes"/>
    <x v="4"/>
    <x v="3"/>
    <x v="2"/>
    <n v="40"/>
    <x v="0"/>
    <x v="0"/>
    <n v="0"/>
    <x v="2"/>
  </r>
  <r>
    <n v="16871"/>
    <x v="0"/>
    <x v="0"/>
    <x v="8"/>
    <n v="2"/>
    <x v="2"/>
    <s v="Professional"/>
    <s v="Yes"/>
    <x v="1"/>
    <x v="4"/>
    <x v="2"/>
    <n v="51"/>
    <x v="0"/>
    <x v="1"/>
    <n v="1"/>
    <x v="2"/>
  </r>
  <r>
    <n v="12100"/>
    <x v="1"/>
    <x v="1"/>
    <x v="10"/>
    <n v="2"/>
    <x v="0"/>
    <s v="Management"/>
    <s v="Yes"/>
    <x v="0"/>
    <x v="4"/>
    <x v="2"/>
    <n v="57"/>
    <x v="1"/>
    <x v="0"/>
    <n v="0"/>
    <x v="3"/>
  </r>
  <r>
    <n v="23158"/>
    <x v="0"/>
    <x v="0"/>
    <x v="10"/>
    <n v="1"/>
    <x v="4"/>
    <s v="Professional"/>
    <s v="No"/>
    <x v="0"/>
    <x v="0"/>
    <x v="2"/>
    <n v="35"/>
    <x v="0"/>
    <x v="1"/>
    <n v="1"/>
    <x v="3"/>
  </r>
  <r>
    <n v="18545"/>
    <x v="0"/>
    <x v="1"/>
    <x v="0"/>
    <n v="4"/>
    <x v="2"/>
    <s v="Professional"/>
    <s v="No"/>
    <x v="2"/>
    <x v="4"/>
    <x v="2"/>
    <n v="61"/>
    <x v="1"/>
    <x v="1"/>
    <n v="1"/>
    <x v="0"/>
  </r>
  <r>
    <n v="18391"/>
    <x v="1"/>
    <x v="0"/>
    <x v="2"/>
    <n v="5"/>
    <x v="1"/>
    <s v="Professional"/>
    <s v="Yes"/>
    <x v="2"/>
    <x v="2"/>
    <x v="2"/>
    <n v="44"/>
    <x v="0"/>
    <x v="0"/>
    <n v="0"/>
    <x v="1"/>
  </r>
  <r>
    <n v="19812"/>
    <x v="1"/>
    <x v="0"/>
    <x v="3"/>
    <n v="2"/>
    <x v="1"/>
    <s v="Professional"/>
    <s v="Yes"/>
    <x v="0"/>
    <x v="2"/>
    <x v="2"/>
    <n v="49"/>
    <x v="0"/>
    <x v="1"/>
    <n v="1"/>
    <x v="1"/>
  </r>
  <r>
    <n v="27660"/>
    <x v="0"/>
    <x v="1"/>
    <x v="2"/>
    <n v="4"/>
    <x v="4"/>
    <s v="Management"/>
    <s v="Yes"/>
    <x v="2"/>
    <x v="2"/>
    <x v="2"/>
    <n v="70"/>
    <x v="1"/>
    <x v="0"/>
    <n v="0"/>
    <x v="1"/>
  </r>
  <r>
    <n v="18058"/>
    <x v="1"/>
    <x v="0"/>
    <x v="6"/>
    <n v="3"/>
    <x v="2"/>
    <s v="Skilled Manual"/>
    <s v="Yes"/>
    <x v="2"/>
    <x v="1"/>
    <x v="2"/>
    <n v="78"/>
    <x v="1"/>
    <x v="0"/>
    <n v="0"/>
    <x v="0"/>
  </r>
  <r>
    <n v="20343"/>
    <x v="0"/>
    <x v="0"/>
    <x v="8"/>
    <n v="4"/>
    <x v="1"/>
    <s v="Professional"/>
    <s v="Yes"/>
    <x v="1"/>
    <x v="3"/>
    <x v="2"/>
    <n v="45"/>
    <x v="0"/>
    <x v="0"/>
    <n v="0"/>
    <x v="2"/>
  </r>
  <r>
    <n v="28997"/>
    <x v="1"/>
    <x v="1"/>
    <x v="0"/>
    <n v="2"/>
    <x v="2"/>
    <s v="Professional"/>
    <s v="No"/>
    <x v="1"/>
    <x v="1"/>
    <x v="2"/>
    <n v="58"/>
    <x v="1"/>
    <x v="1"/>
    <n v="1"/>
    <x v="0"/>
  </r>
  <r>
    <n v="24398"/>
    <x v="0"/>
    <x v="1"/>
    <x v="12"/>
    <n v="1"/>
    <x v="4"/>
    <s v="Management"/>
    <s v="Yes"/>
    <x v="3"/>
    <x v="0"/>
    <x v="2"/>
    <n v="41"/>
    <x v="0"/>
    <x v="0"/>
    <n v="0"/>
    <x v="2"/>
  </r>
  <r>
    <n v="19002"/>
    <x v="0"/>
    <x v="0"/>
    <x v="10"/>
    <n v="2"/>
    <x v="1"/>
    <s v="Professional"/>
    <s v="Yes"/>
    <x v="1"/>
    <x v="1"/>
    <x v="2"/>
    <n v="57"/>
    <x v="1"/>
    <x v="1"/>
    <n v="1"/>
    <x v="3"/>
  </r>
  <r>
    <n v="28609"/>
    <x v="0"/>
    <x v="1"/>
    <x v="1"/>
    <n v="2"/>
    <x v="2"/>
    <s v="Skilled Manual"/>
    <s v="No"/>
    <x v="2"/>
    <x v="0"/>
    <x v="2"/>
    <n v="49"/>
    <x v="0"/>
    <x v="0"/>
    <n v="0"/>
    <x v="0"/>
  </r>
  <r>
    <n v="29231"/>
    <x v="1"/>
    <x v="1"/>
    <x v="2"/>
    <n v="4"/>
    <x v="1"/>
    <s v="Professional"/>
    <s v="No"/>
    <x v="2"/>
    <x v="0"/>
    <x v="2"/>
    <n v="43"/>
    <x v="0"/>
    <x v="0"/>
    <n v="0"/>
    <x v="1"/>
  </r>
  <r>
    <n v="18858"/>
    <x v="1"/>
    <x v="1"/>
    <x v="10"/>
    <n v="2"/>
    <x v="3"/>
    <s v="Skilled Manual"/>
    <s v="Yes"/>
    <x v="2"/>
    <x v="2"/>
    <x v="2"/>
    <n v="52"/>
    <x v="0"/>
    <x v="1"/>
    <n v="1"/>
    <x v="3"/>
  </r>
  <r>
    <n v="20000"/>
    <x v="0"/>
    <x v="1"/>
    <x v="10"/>
    <n v="1"/>
    <x v="4"/>
    <s v="Professional"/>
    <s v="Yes"/>
    <x v="0"/>
    <x v="0"/>
    <x v="2"/>
    <n v="35"/>
    <x v="0"/>
    <x v="1"/>
    <n v="1"/>
    <x v="3"/>
  </r>
  <r>
    <n v="25261"/>
    <x v="0"/>
    <x v="1"/>
    <x v="0"/>
    <n v="0"/>
    <x v="2"/>
    <s v="Skilled Manual"/>
    <s v="Yes"/>
    <x v="2"/>
    <x v="2"/>
    <x v="2"/>
    <n v="27"/>
    <x v="2"/>
    <x v="0"/>
    <n v="0"/>
    <x v="0"/>
  </r>
  <r>
    <n v="17458"/>
    <x v="1"/>
    <x v="1"/>
    <x v="3"/>
    <n v="3"/>
    <x v="2"/>
    <s v="Professional"/>
    <s v="Yes"/>
    <x v="0"/>
    <x v="2"/>
    <x v="2"/>
    <n v="52"/>
    <x v="0"/>
    <x v="1"/>
    <n v="1"/>
    <x v="1"/>
  </r>
  <r>
    <n v="11644"/>
    <x v="1"/>
    <x v="1"/>
    <x v="0"/>
    <n v="2"/>
    <x v="0"/>
    <s v="Skilled Manual"/>
    <s v="Yes"/>
    <x v="0"/>
    <x v="1"/>
    <x v="2"/>
    <n v="36"/>
    <x v="0"/>
    <x v="0"/>
    <n v="0"/>
    <x v="0"/>
  </r>
  <r>
    <n v="16145"/>
    <x v="1"/>
    <x v="0"/>
    <x v="3"/>
    <n v="5"/>
    <x v="4"/>
    <s v="Professional"/>
    <s v="Yes"/>
    <x v="4"/>
    <x v="4"/>
    <x v="2"/>
    <n v="46"/>
    <x v="0"/>
    <x v="1"/>
    <n v="1"/>
    <x v="1"/>
  </r>
  <r>
    <n v="16890"/>
    <x v="0"/>
    <x v="1"/>
    <x v="10"/>
    <n v="3"/>
    <x v="3"/>
    <s v="Skilled Manual"/>
    <s v="Yes"/>
    <x v="2"/>
    <x v="2"/>
    <x v="2"/>
    <n v="52"/>
    <x v="0"/>
    <x v="1"/>
    <n v="1"/>
    <x v="3"/>
  </r>
  <r>
    <n v="25983"/>
    <x v="0"/>
    <x v="1"/>
    <x v="3"/>
    <n v="0"/>
    <x v="0"/>
    <s v="Professional"/>
    <s v="No"/>
    <x v="1"/>
    <x v="0"/>
    <x v="2"/>
    <n v="43"/>
    <x v="0"/>
    <x v="0"/>
    <n v="0"/>
    <x v="1"/>
  </r>
  <r>
    <n v="14633"/>
    <x v="0"/>
    <x v="1"/>
    <x v="10"/>
    <n v="1"/>
    <x v="1"/>
    <s v="Skilled Manual"/>
    <s v="Yes"/>
    <x v="1"/>
    <x v="1"/>
    <x v="2"/>
    <n v="44"/>
    <x v="0"/>
    <x v="0"/>
    <n v="0"/>
    <x v="3"/>
  </r>
  <r>
    <n v="22994"/>
    <x v="0"/>
    <x v="0"/>
    <x v="2"/>
    <n v="0"/>
    <x v="0"/>
    <s v="Management"/>
    <s v="Yes"/>
    <x v="1"/>
    <x v="3"/>
    <x v="2"/>
    <n v="34"/>
    <x v="0"/>
    <x v="1"/>
    <n v="1"/>
    <x v="1"/>
  </r>
  <r>
    <n v="22983"/>
    <x v="1"/>
    <x v="0"/>
    <x v="1"/>
    <n v="0"/>
    <x v="3"/>
    <s v="Clerical"/>
    <s v="Yes"/>
    <x v="2"/>
    <x v="2"/>
    <x v="2"/>
    <n v="27"/>
    <x v="2"/>
    <x v="0"/>
    <n v="0"/>
    <x v="0"/>
  </r>
  <r>
    <n v="25184"/>
    <x v="1"/>
    <x v="1"/>
    <x v="15"/>
    <n v="1"/>
    <x v="1"/>
    <s v="Professional"/>
    <s v="Yes"/>
    <x v="3"/>
    <x v="2"/>
    <x v="2"/>
    <n v="45"/>
    <x v="0"/>
    <x v="1"/>
    <n v="1"/>
    <x v="2"/>
  </r>
  <r>
    <n v="14469"/>
    <x v="0"/>
    <x v="0"/>
    <x v="11"/>
    <n v="3"/>
    <x v="1"/>
    <s v="Professional"/>
    <s v="Yes"/>
    <x v="3"/>
    <x v="3"/>
    <x v="2"/>
    <n v="45"/>
    <x v="0"/>
    <x v="0"/>
    <n v="0"/>
    <x v="2"/>
  </r>
  <r>
    <n v="11538"/>
    <x v="1"/>
    <x v="0"/>
    <x v="10"/>
    <n v="4"/>
    <x v="4"/>
    <s v="Skilled Manual"/>
    <s v="No"/>
    <x v="0"/>
    <x v="0"/>
    <x v="2"/>
    <n v="47"/>
    <x v="0"/>
    <x v="1"/>
    <n v="1"/>
    <x v="3"/>
  </r>
  <r>
    <n v="16245"/>
    <x v="1"/>
    <x v="0"/>
    <x v="2"/>
    <n v="4"/>
    <x v="4"/>
    <s v="Skilled Manual"/>
    <s v="Yes"/>
    <x v="0"/>
    <x v="3"/>
    <x v="2"/>
    <n v="47"/>
    <x v="0"/>
    <x v="0"/>
    <n v="0"/>
    <x v="1"/>
  </r>
  <r>
    <n v="17858"/>
    <x v="0"/>
    <x v="1"/>
    <x v="0"/>
    <n v="4"/>
    <x v="2"/>
    <s v="Skilled Manual"/>
    <s v="Yes"/>
    <x v="2"/>
    <x v="1"/>
    <x v="2"/>
    <n v="44"/>
    <x v="0"/>
    <x v="1"/>
    <n v="1"/>
    <x v="0"/>
  </r>
  <r>
    <n v="25347"/>
    <x v="1"/>
    <x v="0"/>
    <x v="6"/>
    <n v="3"/>
    <x v="3"/>
    <s v="Clerical"/>
    <s v="No"/>
    <x v="2"/>
    <x v="0"/>
    <x v="2"/>
    <n v="49"/>
    <x v="0"/>
    <x v="0"/>
    <n v="0"/>
    <x v="0"/>
  </r>
  <r>
    <n v="15814"/>
    <x v="1"/>
    <x v="0"/>
    <x v="0"/>
    <n v="0"/>
    <x v="2"/>
    <s v="Skilled Manual"/>
    <s v="Yes"/>
    <x v="1"/>
    <x v="2"/>
    <x v="2"/>
    <n v="30"/>
    <x v="2"/>
    <x v="0"/>
    <n v="0"/>
    <x v="0"/>
  </r>
  <r>
    <n v="11259"/>
    <x v="0"/>
    <x v="0"/>
    <x v="11"/>
    <n v="4"/>
    <x v="1"/>
    <s v="Professional"/>
    <s v="Yes"/>
    <x v="3"/>
    <x v="1"/>
    <x v="2"/>
    <n v="41"/>
    <x v="0"/>
    <x v="1"/>
    <n v="1"/>
    <x v="2"/>
  </r>
  <r>
    <n v="11200"/>
    <x v="0"/>
    <x v="1"/>
    <x v="3"/>
    <n v="4"/>
    <x v="0"/>
    <s v="Management"/>
    <s v="Yes"/>
    <x v="1"/>
    <x v="3"/>
    <x v="2"/>
    <n v="58"/>
    <x v="1"/>
    <x v="0"/>
    <n v="0"/>
    <x v="1"/>
  </r>
  <r>
    <n v="25101"/>
    <x v="0"/>
    <x v="1"/>
    <x v="10"/>
    <n v="5"/>
    <x v="0"/>
    <s v="Professional"/>
    <s v="Yes"/>
    <x v="1"/>
    <x v="1"/>
    <x v="2"/>
    <n v="47"/>
    <x v="0"/>
    <x v="0"/>
    <n v="0"/>
    <x v="3"/>
  </r>
  <r>
    <n v="21801"/>
    <x v="0"/>
    <x v="0"/>
    <x v="3"/>
    <n v="4"/>
    <x v="1"/>
    <s v="Professional"/>
    <s v="Yes"/>
    <x v="1"/>
    <x v="3"/>
    <x v="2"/>
    <n v="55"/>
    <x v="0"/>
    <x v="0"/>
    <n v="0"/>
    <x v="1"/>
  </r>
  <r>
    <n v="25943"/>
    <x v="1"/>
    <x v="0"/>
    <x v="3"/>
    <n v="0"/>
    <x v="1"/>
    <s v="Skilled Manual"/>
    <s v="No"/>
    <x v="2"/>
    <x v="0"/>
    <x v="2"/>
    <n v="27"/>
    <x v="2"/>
    <x v="1"/>
    <n v="1"/>
    <x v="1"/>
  </r>
  <r>
    <n v="22127"/>
    <x v="0"/>
    <x v="1"/>
    <x v="10"/>
    <n v="3"/>
    <x v="4"/>
    <s v="Management"/>
    <s v="Yes"/>
    <x v="2"/>
    <x v="3"/>
    <x v="2"/>
    <n v="67"/>
    <x v="1"/>
    <x v="0"/>
    <n v="0"/>
    <x v="3"/>
  </r>
  <r>
    <n v="20414"/>
    <x v="0"/>
    <x v="0"/>
    <x v="10"/>
    <n v="0"/>
    <x v="1"/>
    <s v="Skilled Manual"/>
    <s v="Yes"/>
    <x v="2"/>
    <x v="2"/>
    <x v="2"/>
    <n v="29"/>
    <x v="2"/>
    <x v="0"/>
    <n v="0"/>
    <x v="3"/>
  </r>
  <r>
    <n v="23672"/>
    <x v="0"/>
    <x v="0"/>
    <x v="10"/>
    <n v="3"/>
    <x v="4"/>
    <s v="Management"/>
    <s v="Yes"/>
    <x v="2"/>
    <x v="3"/>
    <x v="2"/>
    <n v="67"/>
    <x v="1"/>
    <x v="0"/>
    <n v="0"/>
    <x v="3"/>
  </r>
  <r>
    <n v="29255"/>
    <x v="1"/>
    <x v="1"/>
    <x v="2"/>
    <n v="3"/>
    <x v="1"/>
    <s v="Professional"/>
    <s v="No"/>
    <x v="1"/>
    <x v="3"/>
    <x v="2"/>
    <n v="51"/>
    <x v="0"/>
    <x v="1"/>
    <n v="1"/>
    <x v="1"/>
  </r>
  <r>
    <n v="28815"/>
    <x v="0"/>
    <x v="0"/>
    <x v="14"/>
    <n v="1"/>
    <x v="4"/>
    <s v="Skilled Manual"/>
    <s v="Yes"/>
    <x v="0"/>
    <x v="0"/>
    <x v="2"/>
    <n v="35"/>
    <x v="0"/>
    <x v="0"/>
    <n v="0"/>
    <x v="3"/>
  </r>
  <r>
    <n v="27753"/>
    <x v="0"/>
    <x v="1"/>
    <x v="0"/>
    <n v="0"/>
    <x v="2"/>
    <s v="Skilled Manual"/>
    <s v="No"/>
    <x v="2"/>
    <x v="3"/>
    <x v="2"/>
    <n v="30"/>
    <x v="2"/>
    <x v="0"/>
    <n v="0"/>
    <x v="0"/>
  </r>
  <r>
    <n v="27643"/>
    <x v="1"/>
    <x v="1"/>
    <x v="3"/>
    <n v="5"/>
    <x v="1"/>
    <s v="Professional"/>
    <s v="Yes"/>
    <x v="4"/>
    <x v="1"/>
    <x v="2"/>
    <n v="44"/>
    <x v="0"/>
    <x v="0"/>
    <n v="0"/>
    <x v="1"/>
  </r>
  <r>
    <n v="13754"/>
    <x v="1"/>
    <x v="0"/>
    <x v="2"/>
    <n v="4"/>
    <x v="4"/>
    <s v="Skilled Manual"/>
    <s v="Yes"/>
    <x v="0"/>
    <x v="3"/>
    <x v="2"/>
    <n v="48"/>
    <x v="0"/>
    <x v="0"/>
    <n v="0"/>
    <x v="1"/>
  </r>
  <r>
    <n v="22088"/>
    <x v="0"/>
    <x v="0"/>
    <x v="12"/>
    <n v="1"/>
    <x v="0"/>
    <s v="Management"/>
    <s v="Yes"/>
    <x v="2"/>
    <x v="0"/>
    <x v="2"/>
    <n v="45"/>
    <x v="0"/>
    <x v="1"/>
    <n v="1"/>
    <x v="2"/>
  </r>
  <r>
    <n v="27388"/>
    <x v="0"/>
    <x v="1"/>
    <x v="10"/>
    <n v="3"/>
    <x v="0"/>
    <s v="Management"/>
    <s v="No"/>
    <x v="2"/>
    <x v="3"/>
    <x v="2"/>
    <n v="66"/>
    <x v="1"/>
    <x v="0"/>
    <n v="0"/>
    <x v="3"/>
  </r>
  <r>
    <n v="24745"/>
    <x v="1"/>
    <x v="0"/>
    <x v="1"/>
    <n v="2"/>
    <x v="2"/>
    <s v="Skilled Manual"/>
    <s v="No"/>
    <x v="2"/>
    <x v="0"/>
    <x v="2"/>
    <n v="49"/>
    <x v="0"/>
    <x v="0"/>
    <n v="0"/>
    <x v="0"/>
  </r>
  <r>
    <n v="29237"/>
    <x v="1"/>
    <x v="0"/>
    <x v="7"/>
    <n v="4"/>
    <x v="1"/>
    <s v="Professional"/>
    <s v="Yes"/>
    <x v="4"/>
    <x v="2"/>
    <x v="2"/>
    <n v="43"/>
    <x v="0"/>
    <x v="1"/>
    <n v="1"/>
    <x v="2"/>
  </r>
  <r>
    <n v="15272"/>
    <x v="1"/>
    <x v="1"/>
    <x v="0"/>
    <n v="0"/>
    <x v="2"/>
    <s v="Skilled Manual"/>
    <s v="No"/>
    <x v="2"/>
    <x v="3"/>
    <x v="2"/>
    <n v="30"/>
    <x v="2"/>
    <x v="0"/>
    <n v="0"/>
    <x v="0"/>
  </r>
  <r>
    <n v="18949"/>
    <x v="1"/>
    <x v="1"/>
    <x v="3"/>
    <n v="0"/>
    <x v="4"/>
    <s v="Management"/>
    <s v="Yes"/>
    <x v="2"/>
    <x v="2"/>
    <x v="2"/>
    <n v="74"/>
    <x v="1"/>
    <x v="1"/>
    <n v="1"/>
    <x v="1"/>
  </r>
  <r>
    <n v="14507"/>
    <x v="0"/>
    <x v="1"/>
    <x v="11"/>
    <n v="2"/>
    <x v="4"/>
    <s v="Management"/>
    <s v="Yes"/>
    <x v="4"/>
    <x v="3"/>
    <x v="2"/>
    <n v="65"/>
    <x v="1"/>
    <x v="0"/>
    <n v="0"/>
    <x v="2"/>
  </r>
  <r>
    <n v="25886"/>
    <x v="0"/>
    <x v="0"/>
    <x v="10"/>
    <n v="2"/>
    <x v="1"/>
    <s v="Professional"/>
    <s v="Yes"/>
    <x v="2"/>
    <x v="1"/>
    <x v="2"/>
    <n v="56"/>
    <x v="1"/>
    <x v="1"/>
    <n v="1"/>
    <x v="3"/>
  </r>
  <r>
    <n v="21441"/>
    <x v="0"/>
    <x v="1"/>
    <x v="14"/>
    <n v="4"/>
    <x v="0"/>
    <s v="Management"/>
    <s v="Yes"/>
    <x v="2"/>
    <x v="4"/>
    <x v="2"/>
    <n v="64"/>
    <x v="1"/>
    <x v="0"/>
    <n v="0"/>
    <x v="3"/>
  </r>
  <r>
    <n v="21741"/>
    <x v="0"/>
    <x v="0"/>
    <x v="3"/>
    <n v="3"/>
    <x v="1"/>
    <s v="Professional"/>
    <s v="Yes"/>
    <x v="2"/>
    <x v="2"/>
    <x v="2"/>
    <n v="50"/>
    <x v="0"/>
    <x v="1"/>
    <n v="1"/>
    <x v="1"/>
  </r>
  <r>
    <n v="14572"/>
    <x v="0"/>
    <x v="0"/>
    <x v="3"/>
    <n v="3"/>
    <x v="4"/>
    <s v="Professional"/>
    <s v="Yes"/>
    <x v="0"/>
    <x v="1"/>
    <x v="2"/>
    <n v="35"/>
    <x v="0"/>
    <x v="1"/>
    <n v="1"/>
    <x v="1"/>
  </r>
  <r>
    <n v="23368"/>
    <x v="0"/>
    <x v="0"/>
    <x v="10"/>
    <n v="5"/>
    <x v="0"/>
    <s v="Skilled Manual"/>
    <s v="Yes"/>
    <x v="4"/>
    <x v="4"/>
    <x v="2"/>
    <n v="41"/>
    <x v="0"/>
    <x v="0"/>
    <n v="0"/>
    <x v="3"/>
  </r>
  <r>
    <n v="16217"/>
    <x v="1"/>
    <x v="0"/>
    <x v="10"/>
    <n v="0"/>
    <x v="4"/>
    <s v="Skilled Manual"/>
    <s v="Yes"/>
    <x v="0"/>
    <x v="0"/>
    <x v="2"/>
    <n v="39"/>
    <x v="0"/>
    <x v="0"/>
    <n v="0"/>
    <x v="3"/>
  </r>
  <r>
    <n v="16247"/>
    <x v="1"/>
    <x v="0"/>
    <x v="10"/>
    <n v="4"/>
    <x v="4"/>
    <s v="Skilled Manual"/>
    <s v="No"/>
    <x v="0"/>
    <x v="3"/>
    <x v="2"/>
    <n v="47"/>
    <x v="0"/>
    <x v="0"/>
    <n v="0"/>
    <x v="3"/>
  </r>
  <r>
    <n v="22010"/>
    <x v="1"/>
    <x v="1"/>
    <x v="0"/>
    <n v="0"/>
    <x v="2"/>
    <s v="Skilled Manual"/>
    <s v="Yes"/>
    <x v="2"/>
    <x v="2"/>
    <x v="2"/>
    <n v="31"/>
    <x v="0"/>
    <x v="0"/>
    <n v="0"/>
    <x v="0"/>
  </r>
  <r>
    <n v="25872"/>
    <x v="1"/>
    <x v="0"/>
    <x v="3"/>
    <n v="2"/>
    <x v="0"/>
    <s v="Management"/>
    <s v="No"/>
    <x v="1"/>
    <x v="1"/>
    <x v="2"/>
    <n v="58"/>
    <x v="1"/>
    <x v="1"/>
    <n v="1"/>
    <x v="1"/>
  </r>
  <r>
    <n v="19164"/>
    <x v="1"/>
    <x v="0"/>
    <x v="3"/>
    <n v="0"/>
    <x v="0"/>
    <s v="Professional"/>
    <s v="No"/>
    <x v="1"/>
    <x v="1"/>
    <x v="2"/>
    <n v="38"/>
    <x v="0"/>
    <x v="1"/>
    <n v="1"/>
    <x v="1"/>
  </r>
  <r>
    <n v="18435"/>
    <x v="1"/>
    <x v="0"/>
    <x v="3"/>
    <n v="5"/>
    <x v="4"/>
    <s v="Management"/>
    <s v="Yes"/>
    <x v="2"/>
    <x v="4"/>
    <x v="2"/>
    <n v="67"/>
    <x v="1"/>
    <x v="1"/>
    <n v="1"/>
    <x v="1"/>
  </r>
  <r>
    <n v="14284"/>
    <x v="1"/>
    <x v="1"/>
    <x v="10"/>
    <n v="0"/>
    <x v="1"/>
    <s v="Professional"/>
    <s v="No"/>
    <x v="2"/>
    <x v="3"/>
    <x v="2"/>
    <n v="32"/>
    <x v="0"/>
    <x v="1"/>
    <n v="1"/>
    <x v="3"/>
  </r>
  <r>
    <n v="11287"/>
    <x v="0"/>
    <x v="1"/>
    <x v="3"/>
    <n v="5"/>
    <x v="1"/>
    <s v="Professional"/>
    <s v="No"/>
    <x v="4"/>
    <x v="2"/>
    <x v="2"/>
    <n v="45"/>
    <x v="0"/>
    <x v="0"/>
    <n v="0"/>
    <x v="1"/>
  </r>
  <r>
    <n v="13066"/>
    <x v="1"/>
    <x v="1"/>
    <x v="1"/>
    <n v="0"/>
    <x v="2"/>
    <s v="Skilled Manual"/>
    <s v="No"/>
    <x v="2"/>
    <x v="3"/>
    <x v="2"/>
    <n v="31"/>
    <x v="0"/>
    <x v="1"/>
    <n v="1"/>
    <x v="0"/>
  </r>
  <r>
    <n v="29106"/>
    <x v="1"/>
    <x v="1"/>
    <x v="0"/>
    <n v="0"/>
    <x v="2"/>
    <s v="Skilled Manual"/>
    <s v="No"/>
    <x v="2"/>
    <x v="3"/>
    <x v="2"/>
    <n v="31"/>
    <x v="0"/>
    <x v="1"/>
    <n v="1"/>
    <x v="0"/>
  </r>
  <r>
    <n v="26236"/>
    <x v="0"/>
    <x v="0"/>
    <x v="0"/>
    <n v="3"/>
    <x v="1"/>
    <s v="Clerical"/>
    <s v="Yes"/>
    <x v="1"/>
    <x v="0"/>
    <x v="2"/>
    <n v="31"/>
    <x v="0"/>
    <x v="0"/>
    <n v="0"/>
    <x v="0"/>
  </r>
  <r>
    <n v="17531"/>
    <x v="0"/>
    <x v="1"/>
    <x v="10"/>
    <n v="2"/>
    <x v="2"/>
    <s v="Professional"/>
    <s v="No"/>
    <x v="2"/>
    <x v="2"/>
    <x v="2"/>
    <n v="50"/>
    <x v="0"/>
    <x v="0"/>
    <n v="0"/>
    <x v="3"/>
  </r>
  <r>
    <n v="12964"/>
    <x v="0"/>
    <x v="1"/>
    <x v="3"/>
    <n v="1"/>
    <x v="1"/>
    <s v="Skilled Manual"/>
    <s v="Yes"/>
    <x v="1"/>
    <x v="0"/>
    <x v="2"/>
    <n v="44"/>
    <x v="0"/>
    <x v="0"/>
    <n v="0"/>
    <x v="1"/>
  </r>
  <r>
    <n v="19133"/>
    <x v="1"/>
    <x v="1"/>
    <x v="14"/>
    <n v="2"/>
    <x v="0"/>
    <s v="Skilled Manual"/>
    <s v="Yes"/>
    <x v="1"/>
    <x v="1"/>
    <x v="2"/>
    <n v="38"/>
    <x v="0"/>
    <x v="1"/>
    <n v="1"/>
    <x v="3"/>
  </r>
  <r>
    <n v="24643"/>
    <x v="1"/>
    <x v="0"/>
    <x v="10"/>
    <n v="4"/>
    <x v="0"/>
    <s v="Management"/>
    <s v="Yes"/>
    <x v="2"/>
    <x v="4"/>
    <x v="2"/>
    <n v="63"/>
    <x v="1"/>
    <x v="0"/>
    <n v="0"/>
    <x v="3"/>
  </r>
  <r>
    <n v="21599"/>
    <x v="0"/>
    <x v="0"/>
    <x v="10"/>
    <n v="1"/>
    <x v="4"/>
    <s v="Professional"/>
    <s v="Yes"/>
    <x v="0"/>
    <x v="1"/>
    <x v="2"/>
    <n v="36"/>
    <x v="0"/>
    <x v="1"/>
    <n v="1"/>
    <x v="3"/>
  </r>
  <r>
    <n v="22976"/>
    <x v="1"/>
    <x v="1"/>
    <x v="0"/>
    <n v="0"/>
    <x v="2"/>
    <s v="Skilled Manual"/>
    <s v="No"/>
    <x v="2"/>
    <x v="0"/>
    <x v="2"/>
    <n v="28"/>
    <x v="2"/>
    <x v="1"/>
    <n v="1"/>
    <x v="0"/>
  </r>
  <r>
    <n v="27637"/>
    <x v="1"/>
    <x v="0"/>
    <x v="11"/>
    <n v="1"/>
    <x v="1"/>
    <s v="Professional"/>
    <s v="No"/>
    <x v="4"/>
    <x v="3"/>
    <x v="2"/>
    <n v="44"/>
    <x v="0"/>
    <x v="0"/>
    <n v="0"/>
    <x v="2"/>
  </r>
  <r>
    <n v="11890"/>
    <x v="0"/>
    <x v="0"/>
    <x v="3"/>
    <n v="5"/>
    <x v="4"/>
    <s v="Professional"/>
    <s v="Yes"/>
    <x v="1"/>
    <x v="0"/>
    <x v="2"/>
    <n v="47"/>
    <x v="0"/>
    <x v="0"/>
    <n v="0"/>
    <x v="1"/>
  </r>
  <r>
    <n v="28580"/>
    <x v="0"/>
    <x v="0"/>
    <x v="2"/>
    <n v="0"/>
    <x v="4"/>
    <s v="Skilled Manual"/>
    <s v="Yes"/>
    <x v="0"/>
    <x v="3"/>
    <x v="2"/>
    <n v="40"/>
    <x v="0"/>
    <x v="1"/>
    <n v="1"/>
    <x v="1"/>
  </r>
  <r>
    <n v="14443"/>
    <x v="0"/>
    <x v="1"/>
    <x v="12"/>
    <n v="1"/>
    <x v="4"/>
    <s v="Management"/>
    <s v="Yes"/>
    <x v="3"/>
    <x v="0"/>
    <x v="2"/>
    <n v="40"/>
    <x v="0"/>
    <x v="0"/>
    <n v="0"/>
    <x v="2"/>
  </r>
  <r>
    <n v="17864"/>
    <x v="0"/>
    <x v="0"/>
    <x v="10"/>
    <n v="1"/>
    <x v="1"/>
    <s v="Skilled Manual"/>
    <s v="Yes"/>
    <x v="1"/>
    <x v="1"/>
    <x v="2"/>
    <n v="46"/>
    <x v="0"/>
    <x v="1"/>
    <n v="1"/>
    <x v="3"/>
  </r>
  <r>
    <n v="20505"/>
    <x v="0"/>
    <x v="0"/>
    <x v="0"/>
    <n v="5"/>
    <x v="2"/>
    <s v="Professional"/>
    <s v="No"/>
    <x v="2"/>
    <x v="4"/>
    <x v="2"/>
    <n v="61"/>
    <x v="1"/>
    <x v="0"/>
    <n v="0"/>
    <x v="0"/>
  </r>
  <r>
    <n v="14592"/>
    <x v="0"/>
    <x v="0"/>
    <x v="10"/>
    <n v="0"/>
    <x v="4"/>
    <s v="Professional"/>
    <s v="Yes"/>
    <x v="0"/>
    <x v="0"/>
    <x v="2"/>
    <n v="40"/>
    <x v="0"/>
    <x v="0"/>
    <n v="0"/>
    <x v="3"/>
  </r>
  <r>
    <n v="22227"/>
    <x v="0"/>
    <x v="0"/>
    <x v="10"/>
    <n v="2"/>
    <x v="2"/>
    <s v="Professional"/>
    <s v="Yes"/>
    <x v="2"/>
    <x v="2"/>
    <x v="2"/>
    <n v="50"/>
    <x v="0"/>
    <x v="0"/>
    <n v="0"/>
    <x v="3"/>
  </r>
  <r>
    <n v="21471"/>
    <x v="0"/>
    <x v="1"/>
    <x v="3"/>
    <n v="2"/>
    <x v="1"/>
    <s v="Professional"/>
    <s v="Yes"/>
    <x v="1"/>
    <x v="4"/>
    <x v="2"/>
    <n v="59"/>
    <x v="1"/>
    <x v="0"/>
    <n v="0"/>
    <x v="1"/>
  </r>
  <r>
    <n v="22252"/>
    <x v="1"/>
    <x v="0"/>
    <x v="10"/>
    <n v="1"/>
    <x v="4"/>
    <s v="Professional"/>
    <s v="Yes"/>
    <x v="0"/>
    <x v="1"/>
    <x v="2"/>
    <n v="36"/>
    <x v="0"/>
    <x v="1"/>
    <n v="1"/>
    <x v="3"/>
  </r>
  <r>
    <n v="21260"/>
    <x v="1"/>
    <x v="0"/>
    <x v="0"/>
    <n v="0"/>
    <x v="2"/>
    <s v="Skilled Manual"/>
    <s v="Yes"/>
    <x v="2"/>
    <x v="2"/>
    <x v="2"/>
    <n v="30"/>
    <x v="2"/>
    <x v="0"/>
    <n v="0"/>
    <x v="0"/>
  </r>
  <r>
    <n v="11817"/>
    <x v="1"/>
    <x v="0"/>
    <x v="3"/>
    <n v="4"/>
    <x v="4"/>
    <s v="Professional"/>
    <s v="Yes"/>
    <x v="0"/>
    <x v="1"/>
    <x v="2"/>
    <n v="35"/>
    <x v="0"/>
    <x v="1"/>
    <n v="1"/>
    <x v="1"/>
  </r>
  <r>
    <n v="19223"/>
    <x v="0"/>
    <x v="0"/>
    <x v="1"/>
    <n v="2"/>
    <x v="2"/>
    <s v="Skilled Manual"/>
    <s v="Yes"/>
    <x v="2"/>
    <x v="3"/>
    <x v="2"/>
    <n v="48"/>
    <x v="0"/>
    <x v="0"/>
    <n v="0"/>
    <x v="0"/>
  </r>
  <r>
    <n v="18517"/>
    <x v="0"/>
    <x v="1"/>
    <x v="11"/>
    <n v="3"/>
    <x v="0"/>
    <s v="Management"/>
    <s v="Yes"/>
    <x v="3"/>
    <x v="0"/>
    <x v="2"/>
    <n v="41"/>
    <x v="0"/>
    <x v="0"/>
    <n v="0"/>
    <x v="2"/>
  </r>
  <r>
    <n v="21717"/>
    <x v="0"/>
    <x v="1"/>
    <x v="0"/>
    <n v="2"/>
    <x v="1"/>
    <s v="Clerical"/>
    <s v="Yes"/>
    <x v="1"/>
    <x v="0"/>
    <x v="2"/>
    <n v="47"/>
    <x v="0"/>
    <x v="0"/>
    <n v="0"/>
    <x v="0"/>
  </r>
  <r>
    <n v="13760"/>
    <x v="0"/>
    <x v="1"/>
    <x v="10"/>
    <n v="4"/>
    <x v="4"/>
    <s v="Skilled Manual"/>
    <s v="No"/>
    <x v="0"/>
    <x v="0"/>
    <x v="2"/>
    <n v="47"/>
    <x v="0"/>
    <x v="0"/>
    <n v="0"/>
    <x v="3"/>
  </r>
  <r>
    <n v="18145"/>
    <x v="0"/>
    <x v="1"/>
    <x v="2"/>
    <n v="5"/>
    <x v="0"/>
    <s v="Management"/>
    <s v="No"/>
    <x v="2"/>
    <x v="1"/>
    <x v="0"/>
    <n v="62"/>
    <x v="1"/>
    <x v="0"/>
    <n v="0"/>
    <x v="1"/>
  </r>
  <r>
    <n v="21770"/>
    <x v="0"/>
    <x v="1"/>
    <x v="10"/>
    <n v="4"/>
    <x v="0"/>
    <s v="Management"/>
    <s v="Yes"/>
    <x v="2"/>
    <x v="4"/>
    <x v="2"/>
    <n v="60"/>
    <x v="1"/>
    <x v="0"/>
    <n v="0"/>
    <x v="3"/>
  </r>
  <r>
    <n v="11165"/>
    <x v="0"/>
    <x v="0"/>
    <x v="10"/>
    <n v="0"/>
    <x v="1"/>
    <s v="Skilled Manual"/>
    <s v="No"/>
    <x v="1"/>
    <x v="3"/>
    <x v="2"/>
    <n v="33"/>
    <x v="0"/>
    <x v="0"/>
    <n v="0"/>
    <x v="3"/>
  </r>
  <r>
    <n v="16377"/>
    <x v="1"/>
    <x v="0"/>
    <x v="2"/>
    <n v="4"/>
    <x v="4"/>
    <s v="Skilled Manual"/>
    <s v="No"/>
    <x v="0"/>
    <x v="0"/>
    <x v="2"/>
    <n v="47"/>
    <x v="0"/>
    <x v="0"/>
    <n v="0"/>
    <x v="1"/>
  </r>
  <r>
    <n v="26248"/>
    <x v="0"/>
    <x v="1"/>
    <x v="6"/>
    <n v="3"/>
    <x v="3"/>
    <s v="Clerical"/>
    <s v="No"/>
    <x v="2"/>
    <x v="0"/>
    <x v="2"/>
    <n v="52"/>
    <x v="0"/>
    <x v="0"/>
    <n v="0"/>
    <x v="0"/>
  </r>
  <r>
    <n v="23461"/>
    <x v="0"/>
    <x v="0"/>
    <x v="8"/>
    <n v="5"/>
    <x v="1"/>
    <s v="Professional"/>
    <s v="Yes"/>
    <x v="4"/>
    <x v="1"/>
    <x v="2"/>
    <n v="40"/>
    <x v="0"/>
    <x v="0"/>
    <n v="0"/>
    <x v="2"/>
  </r>
  <r>
    <n v="29133"/>
    <x v="1"/>
    <x v="0"/>
    <x v="10"/>
    <n v="4"/>
    <x v="0"/>
    <s v="Skilled Manual"/>
    <s v="No"/>
    <x v="2"/>
    <x v="0"/>
    <x v="2"/>
    <n v="42"/>
    <x v="0"/>
    <x v="0"/>
    <n v="0"/>
    <x v="3"/>
  </r>
  <r>
    <n v="27673"/>
    <x v="1"/>
    <x v="0"/>
    <x v="10"/>
    <n v="3"/>
    <x v="4"/>
    <s v="Management"/>
    <s v="Yes"/>
    <x v="2"/>
    <x v="2"/>
    <x v="2"/>
    <n v="53"/>
    <x v="0"/>
    <x v="1"/>
    <n v="1"/>
    <x v="3"/>
  </r>
  <r>
    <n v="12774"/>
    <x v="0"/>
    <x v="0"/>
    <x v="0"/>
    <n v="1"/>
    <x v="1"/>
    <s v="Clerical"/>
    <s v="Yes"/>
    <x v="1"/>
    <x v="3"/>
    <x v="2"/>
    <n v="51"/>
    <x v="0"/>
    <x v="1"/>
    <n v="1"/>
    <x v="0"/>
  </r>
  <r>
    <n v="18910"/>
    <x v="1"/>
    <x v="1"/>
    <x v="1"/>
    <n v="0"/>
    <x v="1"/>
    <s v="Skilled Manual"/>
    <s v="Yes"/>
    <x v="2"/>
    <x v="2"/>
    <x v="2"/>
    <n v="30"/>
    <x v="2"/>
    <x v="0"/>
    <n v="0"/>
    <x v="0"/>
  </r>
  <r>
    <n v="11699"/>
    <x v="1"/>
    <x v="1"/>
    <x v="10"/>
    <n v="0"/>
    <x v="0"/>
    <s v="Skilled Manual"/>
    <s v="No"/>
    <x v="2"/>
    <x v="0"/>
    <x v="2"/>
    <n v="30"/>
    <x v="2"/>
    <x v="0"/>
    <n v="0"/>
    <x v="3"/>
  </r>
  <r>
    <n v="16725"/>
    <x v="0"/>
    <x v="1"/>
    <x v="1"/>
    <n v="0"/>
    <x v="2"/>
    <s v="Skilled Manual"/>
    <s v="Yes"/>
    <x v="2"/>
    <x v="2"/>
    <x v="2"/>
    <n v="26"/>
    <x v="2"/>
    <x v="0"/>
    <n v="0"/>
    <x v="0"/>
  </r>
  <r>
    <n v="28269"/>
    <x v="1"/>
    <x v="0"/>
    <x v="12"/>
    <n v="1"/>
    <x v="0"/>
    <s v="Management"/>
    <s v="No"/>
    <x v="1"/>
    <x v="1"/>
    <x v="2"/>
    <n v="45"/>
    <x v="0"/>
    <x v="0"/>
    <n v="0"/>
    <x v="2"/>
  </r>
  <r>
    <n v="23144"/>
    <x v="0"/>
    <x v="1"/>
    <x v="14"/>
    <n v="1"/>
    <x v="0"/>
    <s v="Skilled Manual"/>
    <s v="Yes"/>
    <x v="0"/>
    <x v="0"/>
    <x v="2"/>
    <n v="34"/>
    <x v="0"/>
    <x v="1"/>
    <n v="1"/>
    <x v="3"/>
  </r>
  <r>
    <n v="23376"/>
    <x v="0"/>
    <x v="1"/>
    <x v="3"/>
    <n v="1"/>
    <x v="0"/>
    <s v="Professional"/>
    <s v="Yes"/>
    <x v="1"/>
    <x v="1"/>
    <x v="2"/>
    <n v="44"/>
    <x v="0"/>
    <x v="1"/>
    <n v="1"/>
    <x v="1"/>
  </r>
  <r>
    <n v="25970"/>
    <x v="1"/>
    <x v="0"/>
    <x v="10"/>
    <n v="4"/>
    <x v="0"/>
    <s v="Skilled Manual"/>
    <s v="No"/>
    <x v="2"/>
    <x v="0"/>
    <x v="2"/>
    <n v="41"/>
    <x v="0"/>
    <x v="1"/>
    <n v="1"/>
    <x v="3"/>
  </r>
  <r>
    <n v="28068"/>
    <x v="1"/>
    <x v="0"/>
    <x v="2"/>
    <n v="3"/>
    <x v="4"/>
    <s v="Professional"/>
    <s v="No"/>
    <x v="0"/>
    <x v="0"/>
    <x v="2"/>
    <n v="36"/>
    <x v="0"/>
    <x v="1"/>
    <n v="1"/>
    <x v="1"/>
  </r>
  <r>
    <n v="18390"/>
    <x v="0"/>
    <x v="1"/>
    <x v="2"/>
    <n v="5"/>
    <x v="1"/>
    <s v="Professional"/>
    <s v="Yes"/>
    <x v="2"/>
    <x v="0"/>
    <x v="2"/>
    <n v="44"/>
    <x v="0"/>
    <x v="0"/>
    <n v="0"/>
    <x v="1"/>
  </r>
  <r>
    <n v="29112"/>
    <x v="1"/>
    <x v="1"/>
    <x v="10"/>
    <n v="0"/>
    <x v="1"/>
    <s v="Professional"/>
    <s v="No"/>
    <x v="2"/>
    <x v="3"/>
    <x v="2"/>
    <n v="30"/>
    <x v="2"/>
    <x v="0"/>
    <n v="0"/>
    <x v="3"/>
  </r>
  <r>
    <n v="14090"/>
    <x v="0"/>
    <x v="0"/>
    <x v="1"/>
    <n v="0"/>
    <x v="3"/>
    <s v="Clerical"/>
    <s v="No"/>
    <x v="2"/>
    <x v="0"/>
    <x v="2"/>
    <n v="28"/>
    <x v="2"/>
    <x v="0"/>
    <n v="0"/>
    <x v="0"/>
  </r>
  <r>
    <n v="27040"/>
    <x v="0"/>
    <x v="1"/>
    <x v="6"/>
    <n v="2"/>
    <x v="3"/>
    <s v="Clerical"/>
    <s v="Yes"/>
    <x v="2"/>
    <x v="3"/>
    <x v="2"/>
    <n v="49"/>
    <x v="0"/>
    <x v="0"/>
    <n v="0"/>
    <x v="0"/>
  </r>
  <r>
    <n v="23479"/>
    <x v="1"/>
    <x v="1"/>
    <x v="8"/>
    <n v="0"/>
    <x v="1"/>
    <s v="Professional"/>
    <s v="No"/>
    <x v="2"/>
    <x v="0"/>
    <x v="2"/>
    <n v="43"/>
    <x v="0"/>
    <x v="1"/>
    <n v="1"/>
    <x v="2"/>
  </r>
  <r>
    <n v="16795"/>
    <x v="0"/>
    <x v="0"/>
    <x v="3"/>
    <n v="4"/>
    <x v="0"/>
    <s v="Management"/>
    <s v="Yes"/>
    <x v="1"/>
    <x v="3"/>
    <x v="2"/>
    <n v="59"/>
    <x v="1"/>
    <x v="0"/>
    <n v="0"/>
    <x v="1"/>
  </r>
  <r>
    <n v="22014"/>
    <x v="1"/>
    <x v="1"/>
    <x v="1"/>
    <n v="0"/>
    <x v="2"/>
    <s v="Skilled Manual"/>
    <s v="Yes"/>
    <x v="2"/>
    <x v="2"/>
    <x v="2"/>
    <n v="26"/>
    <x v="2"/>
    <x v="0"/>
    <n v="0"/>
    <x v="0"/>
  </r>
  <r>
    <n v="13314"/>
    <x v="0"/>
    <x v="1"/>
    <x v="7"/>
    <n v="1"/>
    <x v="2"/>
    <s v="Professional"/>
    <s v="Yes"/>
    <x v="3"/>
    <x v="2"/>
    <x v="2"/>
    <n v="46"/>
    <x v="0"/>
    <x v="1"/>
    <n v="1"/>
    <x v="2"/>
  </r>
  <r>
    <n v="11619"/>
    <x v="1"/>
    <x v="0"/>
    <x v="14"/>
    <n v="0"/>
    <x v="4"/>
    <s v="Skilled Manual"/>
    <s v="Yes"/>
    <x v="0"/>
    <x v="3"/>
    <x v="2"/>
    <n v="33"/>
    <x v="0"/>
    <x v="0"/>
    <n v="0"/>
    <x v="3"/>
  </r>
  <r>
    <n v="29132"/>
    <x v="1"/>
    <x v="0"/>
    <x v="0"/>
    <n v="0"/>
    <x v="0"/>
    <s v="Professional"/>
    <s v="Yes"/>
    <x v="1"/>
    <x v="1"/>
    <x v="2"/>
    <n v="42"/>
    <x v="0"/>
    <x v="1"/>
    <n v="1"/>
    <x v="0"/>
  </r>
  <r>
    <n v="11199"/>
    <x v="0"/>
    <x v="0"/>
    <x v="3"/>
    <n v="4"/>
    <x v="0"/>
    <s v="Management"/>
    <s v="Yes"/>
    <x v="1"/>
    <x v="4"/>
    <x v="2"/>
    <n v="59"/>
    <x v="1"/>
    <x v="0"/>
    <n v="0"/>
    <x v="1"/>
  </r>
  <r>
    <n v="20296"/>
    <x v="1"/>
    <x v="0"/>
    <x v="10"/>
    <n v="0"/>
    <x v="1"/>
    <s v="Skilled Manual"/>
    <s v="No"/>
    <x v="1"/>
    <x v="3"/>
    <x v="2"/>
    <n v="33"/>
    <x v="0"/>
    <x v="1"/>
    <n v="1"/>
    <x v="3"/>
  </r>
  <r>
    <n v="17546"/>
    <x v="0"/>
    <x v="0"/>
    <x v="3"/>
    <n v="1"/>
    <x v="1"/>
    <s v="Skilled Manual"/>
    <s v="Yes"/>
    <x v="1"/>
    <x v="0"/>
    <x v="2"/>
    <n v="44"/>
    <x v="0"/>
    <x v="1"/>
    <n v="1"/>
    <x v="1"/>
  </r>
  <r>
    <n v="18069"/>
    <x v="0"/>
    <x v="1"/>
    <x v="3"/>
    <n v="5"/>
    <x v="0"/>
    <s v="Management"/>
    <s v="Yes"/>
    <x v="3"/>
    <x v="4"/>
    <x v="2"/>
    <n v="60"/>
    <x v="1"/>
    <x v="0"/>
    <n v="0"/>
    <x v="1"/>
  </r>
  <r>
    <n v="23712"/>
    <x v="1"/>
    <x v="0"/>
    <x v="3"/>
    <n v="2"/>
    <x v="0"/>
    <s v="Management"/>
    <s v="Yes"/>
    <x v="1"/>
    <x v="4"/>
    <x v="2"/>
    <n v="59"/>
    <x v="1"/>
    <x v="0"/>
    <n v="0"/>
    <x v="1"/>
  </r>
  <r>
    <n v="23358"/>
    <x v="0"/>
    <x v="1"/>
    <x v="10"/>
    <n v="0"/>
    <x v="2"/>
    <s v="Professional"/>
    <s v="Yes"/>
    <x v="2"/>
    <x v="2"/>
    <x v="2"/>
    <n v="32"/>
    <x v="0"/>
    <x v="1"/>
    <n v="1"/>
    <x v="3"/>
  </r>
  <r>
    <n v="20518"/>
    <x v="0"/>
    <x v="0"/>
    <x v="3"/>
    <n v="2"/>
    <x v="1"/>
    <s v="Professional"/>
    <s v="Yes"/>
    <x v="1"/>
    <x v="4"/>
    <x v="2"/>
    <n v="58"/>
    <x v="1"/>
    <x v="0"/>
    <n v="0"/>
    <x v="1"/>
  </r>
  <r>
    <n v="28026"/>
    <x v="0"/>
    <x v="0"/>
    <x v="0"/>
    <n v="2"/>
    <x v="2"/>
    <s v="Professional"/>
    <s v="No"/>
    <x v="2"/>
    <x v="1"/>
    <x v="2"/>
    <n v="59"/>
    <x v="1"/>
    <x v="0"/>
    <n v="0"/>
    <x v="0"/>
  </r>
  <r>
    <n v="11669"/>
    <x v="1"/>
    <x v="0"/>
    <x v="3"/>
    <n v="2"/>
    <x v="0"/>
    <s v="Skilled Manual"/>
    <s v="Yes"/>
    <x v="1"/>
    <x v="1"/>
    <x v="2"/>
    <n v="38"/>
    <x v="0"/>
    <x v="0"/>
    <n v="0"/>
    <x v="1"/>
  </r>
  <r>
    <n v="16020"/>
    <x v="0"/>
    <x v="1"/>
    <x v="0"/>
    <n v="0"/>
    <x v="2"/>
    <s v="Skilled Manual"/>
    <s v="Yes"/>
    <x v="2"/>
    <x v="2"/>
    <x v="2"/>
    <n v="28"/>
    <x v="2"/>
    <x v="1"/>
    <n v="1"/>
    <x v="0"/>
  </r>
  <r>
    <n v="27090"/>
    <x v="0"/>
    <x v="0"/>
    <x v="10"/>
    <n v="1"/>
    <x v="4"/>
    <s v="Professional"/>
    <s v="Yes"/>
    <x v="0"/>
    <x v="1"/>
    <x v="2"/>
    <n v="37"/>
    <x v="0"/>
    <x v="1"/>
    <n v="1"/>
    <x v="3"/>
  </r>
  <r>
    <n v="27198"/>
    <x v="1"/>
    <x v="0"/>
    <x v="2"/>
    <n v="0"/>
    <x v="4"/>
    <s v="Skilled Manual"/>
    <s v="No"/>
    <x v="0"/>
    <x v="0"/>
    <x v="2"/>
    <n v="40"/>
    <x v="0"/>
    <x v="0"/>
    <n v="0"/>
    <x v="1"/>
  </r>
  <r>
    <n v="19661"/>
    <x v="1"/>
    <x v="1"/>
    <x v="8"/>
    <n v="4"/>
    <x v="0"/>
    <s v="Management"/>
    <s v="Yes"/>
    <x v="1"/>
    <x v="3"/>
    <x v="2"/>
    <n v="38"/>
    <x v="0"/>
    <x v="1"/>
    <n v="1"/>
    <x v="2"/>
  </r>
  <r>
    <n v="26327"/>
    <x v="0"/>
    <x v="1"/>
    <x v="3"/>
    <n v="4"/>
    <x v="4"/>
    <s v="Professional"/>
    <s v="Yes"/>
    <x v="0"/>
    <x v="1"/>
    <x v="2"/>
    <n v="36"/>
    <x v="0"/>
    <x v="1"/>
    <n v="1"/>
    <x v="1"/>
  </r>
  <r>
    <n v="26341"/>
    <x v="0"/>
    <x v="0"/>
    <x v="3"/>
    <n v="5"/>
    <x v="4"/>
    <s v="Professional"/>
    <s v="Yes"/>
    <x v="2"/>
    <x v="0"/>
    <x v="2"/>
    <n v="37"/>
    <x v="0"/>
    <x v="0"/>
    <n v="0"/>
    <x v="1"/>
  </r>
  <r>
    <n v="24958"/>
    <x v="1"/>
    <x v="0"/>
    <x v="0"/>
    <n v="5"/>
    <x v="2"/>
    <s v="Professional"/>
    <s v="No"/>
    <x v="4"/>
    <x v="1"/>
    <x v="2"/>
    <n v="60"/>
    <x v="1"/>
    <x v="1"/>
    <n v="1"/>
    <x v="0"/>
  </r>
  <r>
    <n v="13287"/>
    <x v="1"/>
    <x v="1"/>
    <x v="15"/>
    <n v="4"/>
    <x v="0"/>
    <s v="Management"/>
    <s v="Yes"/>
    <x v="3"/>
    <x v="2"/>
    <x v="2"/>
    <n v="42"/>
    <x v="0"/>
    <x v="1"/>
    <n v="1"/>
    <x v="2"/>
  </r>
  <r>
    <n v="14493"/>
    <x v="1"/>
    <x v="0"/>
    <x v="3"/>
    <n v="3"/>
    <x v="4"/>
    <s v="Management"/>
    <s v="No"/>
    <x v="2"/>
    <x v="3"/>
    <x v="2"/>
    <n v="53"/>
    <x v="0"/>
    <x v="0"/>
    <n v="0"/>
    <x v="1"/>
  </r>
  <r>
    <n v="26678"/>
    <x v="1"/>
    <x v="0"/>
    <x v="2"/>
    <n v="2"/>
    <x v="3"/>
    <s v="Skilled Manual"/>
    <s v="Yes"/>
    <x v="2"/>
    <x v="2"/>
    <x v="2"/>
    <n v="49"/>
    <x v="0"/>
    <x v="0"/>
    <n v="0"/>
    <x v="1"/>
  </r>
  <r>
    <n v="23275"/>
    <x v="0"/>
    <x v="1"/>
    <x v="1"/>
    <n v="2"/>
    <x v="2"/>
    <s v="Skilled Manual"/>
    <s v="Yes"/>
    <x v="2"/>
    <x v="3"/>
    <x v="2"/>
    <n v="49"/>
    <x v="0"/>
    <x v="0"/>
    <n v="0"/>
    <x v="0"/>
  </r>
  <r>
    <n v="11270"/>
    <x v="0"/>
    <x v="1"/>
    <x v="12"/>
    <n v="2"/>
    <x v="4"/>
    <s v="Management"/>
    <s v="Yes"/>
    <x v="4"/>
    <x v="0"/>
    <x v="2"/>
    <n v="42"/>
    <x v="0"/>
    <x v="1"/>
    <n v="1"/>
    <x v="2"/>
  </r>
  <r>
    <n v="20084"/>
    <x v="0"/>
    <x v="1"/>
    <x v="6"/>
    <n v="2"/>
    <x v="2"/>
    <s v="Manual"/>
    <s v="No"/>
    <x v="2"/>
    <x v="0"/>
    <x v="2"/>
    <n v="53"/>
    <x v="0"/>
    <x v="0"/>
    <n v="0"/>
    <x v="0"/>
  </r>
  <r>
    <n v="16144"/>
    <x v="0"/>
    <x v="1"/>
    <x v="3"/>
    <n v="1"/>
    <x v="4"/>
    <s v="Professional"/>
    <s v="Yes"/>
    <x v="1"/>
    <x v="0"/>
    <x v="2"/>
    <n v="46"/>
    <x v="0"/>
    <x v="1"/>
    <n v="1"/>
    <x v="1"/>
  </r>
  <r>
    <n v="27731"/>
    <x v="0"/>
    <x v="1"/>
    <x v="0"/>
    <n v="0"/>
    <x v="2"/>
    <s v="Skilled Manual"/>
    <s v="Yes"/>
    <x v="2"/>
    <x v="2"/>
    <x v="2"/>
    <n v="27"/>
    <x v="2"/>
    <x v="0"/>
    <n v="0"/>
    <x v="0"/>
  </r>
  <r>
    <n v="11886"/>
    <x v="0"/>
    <x v="0"/>
    <x v="10"/>
    <n v="3"/>
    <x v="0"/>
    <s v="Professional"/>
    <s v="Yes"/>
    <x v="1"/>
    <x v="0"/>
    <x v="2"/>
    <n v="48"/>
    <x v="0"/>
    <x v="1"/>
    <n v="1"/>
    <x v="3"/>
  </r>
  <r>
    <n v="24324"/>
    <x v="1"/>
    <x v="0"/>
    <x v="10"/>
    <n v="4"/>
    <x v="0"/>
    <s v="Skilled Manual"/>
    <s v="Yes"/>
    <x v="2"/>
    <x v="1"/>
    <x v="2"/>
    <n v="41"/>
    <x v="0"/>
    <x v="1"/>
    <n v="1"/>
    <x v="3"/>
  </r>
  <r>
    <n v="22220"/>
    <x v="0"/>
    <x v="1"/>
    <x v="10"/>
    <n v="2"/>
    <x v="2"/>
    <s v="Professional"/>
    <s v="No"/>
    <x v="2"/>
    <x v="3"/>
    <x v="2"/>
    <n v="49"/>
    <x v="0"/>
    <x v="1"/>
    <n v="1"/>
    <x v="3"/>
  </r>
  <r>
    <n v="26625"/>
    <x v="1"/>
    <x v="0"/>
    <x v="10"/>
    <n v="0"/>
    <x v="4"/>
    <s v="Professional"/>
    <s v="Yes"/>
    <x v="1"/>
    <x v="1"/>
    <x v="2"/>
    <n v="38"/>
    <x v="0"/>
    <x v="1"/>
    <n v="1"/>
    <x v="3"/>
  </r>
  <r>
    <n v="23027"/>
    <x v="1"/>
    <x v="1"/>
    <x v="12"/>
    <n v="1"/>
    <x v="0"/>
    <s v="Management"/>
    <s v="No"/>
    <x v="3"/>
    <x v="0"/>
    <x v="2"/>
    <n v="44"/>
    <x v="0"/>
    <x v="0"/>
    <n v="0"/>
    <x v="2"/>
  </r>
  <r>
    <n v="16867"/>
    <x v="1"/>
    <x v="0"/>
    <x v="12"/>
    <n v="1"/>
    <x v="0"/>
    <s v="Management"/>
    <s v="No"/>
    <x v="4"/>
    <x v="0"/>
    <x v="2"/>
    <n v="45"/>
    <x v="0"/>
    <x v="1"/>
    <n v="1"/>
    <x v="2"/>
  </r>
  <r>
    <n v="14514"/>
    <x v="1"/>
    <x v="0"/>
    <x v="1"/>
    <n v="0"/>
    <x v="1"/>
    <s v="Skilled Manual"/>
    <s v="Yes"/>
    <x v="1"/>
    <x v="2"/>
    <x v="2"/>
    <n v="26"/>
    <x v="2"/>
    <x v="0"/>
    <n v="0"/>
    <x v="0"/>
  </r>
  <r>
    <n v="19634"/>
    <x v="0"/>
    <x v="1"/>
    <x v="0"/>
    <n v="0"/>
    <x v="2"/>
    <s v="Skilled Manual"/>
    <s v="Yes"/>
    <x v="1"/>
    <x v="2"/>
    <x v="2"/>
    <n v="31"/>
    <x v="0"/>
    <x v="0"/>
    <n v="0"/>
    <x v="0"/>
  </r>
  <r>
    <n v="18504"/>
    <x v="0"/>
    <x v="1"/>
    <x v="3"/>
    <n v="2"/>
    <x v="3"/>
    <s v="Skilled Manual"/>
    <s v="No"/>
    <x v="2"/>
    <x v="3"/>
    <x v="2"/>
    <n v="49"/>
    <x v="0"/>
    <x v="0"/>
    <n v="0"/>
    <x v="1"/>
  </r>
  <r>
    <n v="28799"/>
    <x v="1"/>
    <x v="0"/>
    <x v="0"/>
    <n v="2"/>
    <x v="1"/>
    <s v="Clerical"/>
    <s v="No"/>
    <x v="1"/>
    <x v="3"/>
    <x v="2"/>
    <n v="47"/>
    <x v="0"/>
    <x v="1"/>
    <n v="1"/>
    <x v="0"/>
  </r>
  <r>
    <n v="11225"/>
    <x v="0"/>
    <x v="0"/>
    <x v="10"/>
    <n v="2"/>
    <x v="1"/>
    <s v="Professional"/>
    <s v="Yes"/>
    <x v="1"/>
    <x v="4"/>
    <x v="2"/>
    <n v="55"/>
    <x v="0"/>
    <x v="0"/>
    <n v="0"/>
    <x v="3"/>
  </r>
  <r>
    <n v="17657"/>
    <x v="0"/>
    <x v="1"/>
    <x v="0"/>
    <n v="4"/>
    <x v="1"/>
    <s v="Clerical"/>
    <s v="No"/>
    <x v="0"/>
    <x v="0"/>
    <x v="2"/>
    <n v="30"/>
    <x v="2"/>
    <x v="0"/>
    <n v="0"/>
    <x v="0"/>
  </r>
  <r>
    <n v="14913"/>
    <x v="0"/>
    <x v="0"/>
    <x v="0"/>
    <n v="1"/>
    <x v="1"/>
    <s v="Clerical"/>
    <s v="Yes"/>
    <x v="1"/>
    <x v="3"/>
    <x v="2"/>
    <n v="48"/>
    <x v="0"/>
    <x v="1"/>
    <n v="1"/>
    <x v="0"/>
  </r>
  <r>
    <n v="14077"/>
    <x v="1"/>
    <x v="1"/>
    <x v="1"/>
    <n v="0"/>
    <x v="2"/>
    <s v="Skilled Manual"/>
    <s v="Yes"/>
    <x v="2"/>
    <x v="2"/>
    <x v="2"/>
    <n v="30"/>
    <x v="2"/>
    <x v="0"/>
    <n v="0"/>
    <x v="0"/>
  </r>
  <r>
    <n v="13296"/>
    <x v="0"/>
    <x v="1"/>
    <x v="15"/>
    <n v="1"/>
    <x v="0"/>
    <s v="Management"/>
    <s v="Yes"/>
    <x v="4"/>
    <x v="2"/>
    <x v="2"/>
    <n v="45"/>
    <x v="0"/>
    <x v="0"/>
    <n v="0"/>
    <x v="2"/>
  </r>
  <r>
    <n v="20535"/>
    <x v="0"/>
    <x v="0"/>
    <x v="3"/>
    <n v="4"/>
    <x v="1"/>
    <s v="Professional"/>
    <s v="Yes"/>
    <x v="1"/>
    <x v="4"/>
    <x v="2"/>
    <n v="56"/>
    <x v="1"/>
    <x v="0"/>
    <n v="0"/>
    <x v="1"/>
  </r>
  <r>
    <n v="12452"/>
    <x v="0"/>
    <x v="1"/>
    <x v="10"/>
    <n v="4"/>
    <x v="4"/>
    <s v="Skilled Manual"/>
    <s v="Yes"/>
    <x v="0"/>
    <x v="3"/>
    <x v="2"/>
    <n v="47"/>
    <x v="0"/>
    <x v="1"/>
    <n v="1"/>
    <x v="3"/>
  </r>
  <r>
    <n v="28043"/>
    <x v="0"/>
    <x v="0"/>
    <x v="10"/>
    <n v="2"/>
    <x v="0"/>
    <s v="Management"/>
    <s v="Yes"/>
    <x v="0"/>
    <x v="4"/>
    <x v="2"/>
    <n v="56"/>
    <x v="1"/>
    <x v="0"/>
    <n v="0"/>
    <x v="3"/>
  </r>
  <r>
    <n v="12957"/>
    <x v="1"/>
    <x v="0"/>
    <x v="3"/>
    <n v="1"/>
    <x v="0"/>
    <s v="Professional"/>
    <s v="No"/>
    <x v="1"/>
    <x v="0"/>
    <x v="2"/>
    <n v="44"/>
    <x v="0"/>
    <x v="0"/>
    <n v="0"/>
    <x v="1"/>
  </r>
  <r>
    <n v="15412"/>
    <x v="0"/>
    <x v="1"/>
    <x v="12"/>
    <n v="2"/>
    <x v="4"/>
    <s v="Management"/>
    <s v="Yes"/>
    <x v="4"/>
    <x v="1"/>
    <x v="2"/>
    <n v="69"/>
    <x v="1"/>
    <x v="0"/>
    <n v="0"/>
    <x v="2"/>
  </r>
  <r>
    <n v="20514"/>
    <x v="0"/>
    <x v="0"/>
    <x v="3"/>
    <n v="2"/>
    <x v="1"/>
    <s v="Professional"/>
    <s v="Yes"/>
    <x v="1"/>
    <x v="1"/>
    <x v="2"/>
    <n v="59"/>
    <x v="1"/>
    <x v="0"/>
    <n v="0"/>
    <x v="1"/>
  </r>
  <r>
    <n v="20758"/>
    <x v="0"/>
    <x v="1"/>
    <x v="1"/>
    <n v="2"/>
    <x v="2"/>
    <s v="Skilled Manual"/>
    <s v="Yes"/>
    <x v="2"/>
    <x v="3"/>
    <x v="2"/>
    <n v="50"/>
    <x v="0"/>
    <x v="0"/>
    <n v="0"/>
    <x v="0"/>
  </r>
  <r>
    <n v="11801"/>
    <x v="0"/>
    <x v="1"/>
    <x v="10"/>
    <n v="1"/>
    <x v="4"/>
    <s v="Professional"/>
    <s v="Yes"/>
    <x v="0"/>
    <x v="1"/>
    <x v="2"/>
    <n v="36"/>
    <x v="0"/>
    <x v="0"/>
    <n v="0"/>
    <x v="3"/>
  </r>
  <r>
    <n v="22211"/>
    <x v="0"/>
    <x v="1"/>
    <x v="10"/>
    <n v="0"/>
    <x v="1"/>
    <s v="Professional"/>
    <s v="Yes"/>
    <x v="2"/>
    <x v="2"/>
    <x v="2"/>
    <n v="32"/>
    <x v="0"/>
    <x v="0"/>
    <n v="0"/>
    <x v="3"/>
  </r>
  <r>
    <n v="28087"/>
    <x v="1"/>
    <x v="0"/>
    <x v="0"/>
    <n v="0"/>
    <x v="1"/>
    <s v="Skilled Manual"/>
    <s v="No"/>
    <x v="1"/>
    <x v="3"/>
    <x v="2"/>
    <n v="27"/>
    <x v="2"/>
    <x v="0"/>
    <n v="0"/>
    <x v="0"/>
  </r>
  <r>
    <n v="23668"/>
    <x v="0"/>
    <x v="0"/>
    <x v="0"/>
    <n v="4"/>
    <x v="2"/>
    <s v="Professional"/>
    <s v="Yes"/>
    <x v="2"/>
    <x v="2"/>
    <x v="2"/>
    <n v="59"/>
    <x v="1"/>
    <x v="1"/>
    <n v="1"/>
    <x v="0"/>
  </r>
  <r>
    <n v="27441"/>
    <x v="0"/>
    <x v="1"/>
    <x v="10"/>
    <n v="3"/>
    <x v="2"/>
    <s v="Professional"/>
    <s v="No"/>
    <x v="2"/>
    <x v="1"/>
    <x v="2"/>
    <n v="53"/>
    <x v="0"/>
    <x v="0"/>
    <n v="0"/>
    <x v="3"/>
  </r>
  <r>
    <n v="27261"/>
    <x v="0"/>
    <x v="1"/>
    <x v="0"/>
    <n v="1"/>
    <x v="0"/>
    <s v="Skilled Manual"/>
    <s v="No"/>
    <x v="1"/>
    <x v="0"/>
    <x v="2"/>
    <n v="36"/>
    <x v="0"/>
    <x v="1"/>
    <n v="1"/>
    <x v="0"/>
  </r>
  <r>
    <n v="18649"/>
    <x v="1"/>
    <x v="1"/>
    <x v="1"/>
    <n v="1"/>
    <x v="2"/>
    <s v="Clerical"/>
    <s v="Yes"/>
    <x v="2"/>
    <x v="3"/>
    <x v="2"/>
    <n v="51"/>
    <x v="0"/>
    <x v="1"/>
    <n v="1"/>
    <x v="0"/>
  </r>
  <r>
    <n v="21714"/>
    <x v="1"/>
    <x v="0"/>
    <x v="2"/>
    <n v="5"/>
    <x v="4"/>
    <s v="Skilled Manual"/>
    <s v="No"/>
    <x v="0"/>
    <x v="0"/>
    <x v="2"/>
    <n v="47"/>
    <x v="0"/>
    <x v="0"/>
    <n v="0"/>
    <x v="1"/>
  </r>
  <r>
    <n v="23217"/>
    <x v="1"/>
    <x v="0"/>
    <x v="10"/>
    <n v="3"/>
    <x v="4"/>
    <s v="Professional"/>
    <s v="Yes"/>
    <x v="0"/>
    <x v="1"/>
    <x v="2"/>
    <n v="43"/>
    <x v="0"/>
    <x v="1"/>
    <n v="1"/>
    <x v="3"/>
  </r>
  <r>
    <n v="23797"/>
    <x v="1"/>
    <x v="1"/>
    <x v="6"/>
    <n v="3"/>
    <x v="3"/>
    <s v="Clerical"/>
    <s v="No"/>
    <x v="2"/>
    <x v="0"/>
    <x v="2"/>
    <n v="50"/>
    <x v="0"/>
    <x v="0"/>
    <n v="0"/>
    <x v="0"/>
  </r>
  <r>
    <n v="13216"/>
    <x v="0"/>
    <x v="0"/>
    <x v="10"/>
    <n v="5"/>
    <x v="0"/>
    <s v="Management"/>
    <s v="Yes"/>
    <x v="4"/>
    <x v="4"/>
    <x v="2"/>
    <n v="59"/>
    <x v="1"/>
    <x v="0"/>
    <n v="0"/>
    <x v="3"/>
  </r>
  <r>
    <n v="20657"/>
    <x v="1"/>
    <x v="1"/>
    <x v="14"/>
    <n v="2"/>
    <x v="0"/>
    <s v="Skilled Manual"/>
    <s v="Yes"/>
    <x v="0"/>
    <x v="1"/>
    <x v="2"/>
    <n v="37"/>
    <x v="0"/>
    <x v="1"/>
    <n v="1"/>
    <x v="3"/>
  </r>
  <r>
    <n v="12882"/>
    <x v="0"/>
    <x v="1"/>
    <x v="14"/>
    <n v="1"/>
    <x v="4"/>
    <s v="Skilled Manual"/>
    <s v="Yes"/>
    <x v="0"/>
    <x v="0"/>
    <x v="2"/>
    <n v="33"/>
    <x v="0"/>
    <x v="1"/>
    <n v="1"/>
    <x v="3"/>
  </r>
  <r>
    <n v="25908"/>
    <x v="0"/>
    <x v="0"/>
    <x v="10"/>
    <n v="0"/>
    <x v="1"/>
    <s v="Skilled Manual"/>
    <s v="No"/>
    <x v="1"/>
    <x v="3"/>
    <x v="2"/>
    <n v="27"/>
    <x v="2"/>
    <x v="0"/>
    <n v="0"/>
    <x v="3"/>
  </r>
  <r>
    <n v="16753"/>
    <x v="1"/>
    <x v="0"/>
    <x v="3"/>
    <n v="0"/>
    <x v="1"/>
    <s v="Skilled Manual"/>
    <s v="Yes"/>
    <x v="2"/>
    <x v="2"/>
    <x v="2"/>
    <n v="34"/>
    <x v="0"/>
    <x v="1"/>
    <n v="1"/>
    <x v="1"/>
  </r>
  <r>
    <n v="14608"/>
    <x v="0"/>
    <x v="1"/>
    <x v="14"/>
    <n v="4"/>
    <x v="0"/>
    <s v="Skilled Manual"/>
    <s v="Yes"/>
    <x v="4"/>
    <x v="4"/>
    <x v="2"/>
    <n v="42"/>
    <x v="0"/>
    <x v="0"/>
    <n v="0"/>
    <x v="3"/>
  </r>
  <r>
    <n v="24979"/>
    <x v="0"/>
    <x v="0"/>
    <x v="10"/>
    <n v="2"/>
    <x v="1"/>
    <s v="Professional"/>
    <s v="Yes"/>
    <x v="2"/>
    <x v="1"/>
    <x v="2"/>
    <n v="57"/>
    <x v="1"/>
    <x v="1"/>
    <n v="1"/>
    <x v="3"/>
  </r>
  <r>
    <n v="13313"/>
    <x v="0"/>
    <x v="0"/>
    <x v="7"/>
    <n v="1"/>
    <x v="2"/>
    <s v="Professional"/>
    <s v="No"/>
    <x v="3"/>
    <x v="1"/>
    <x v="2"/>
    <n v="45"/>
    <x v="0"/>
    <x v="0"/>
    <n v="0"/>
    <x v="2"/>
  </r>
  <r>
    <n v="18952"/>
    <x v="0"/>
    <x v="0"/>
    <x v="11"/>
    <n v="4"/>
    <x v="0"/>
    <s v="Management"/>
    <s v="Yes"/>
    <x v="3"/>
    <x v="0"/>
    <x v="2"/>
    <n v="40"/>
    <x v="0"/>
    <x v="0"/>
    <n v="0"/>
    <x v="2"/>
  </r>
  <r>
    <n v="17699"/>
    <x v="0"/>
    <x v="1"/>
    <x v="10"/>
    <n v="1"/>
    <x v="4"/>
    <s v="Skilled Manual"/>
    <s v="No"/>
    <x v="0"/>
    <x v="0"/>
    <x v="2"/>
    <n v="55"/>
    <x v="0"/>
    <x v="0"/>
    <n v="0"/>
    <x v="3"/>
  </r>
  <r>
    <n v="14657"/>
    <x v="0"/>
    <x v="1"/>
    <x v="2"/>
    <n v="1"/>
    <x v="1"/>
    <s v="Skilled Manual"/>
    <s v="No"/>
    <x v="1"/>
    <x v="0"/>
    <x v="2"/>
    <n v="47"/>
    <x v="0"/>
    <x v="1"/>
    <n v="1"/>
    <x v="1"/>
  </r>
  <r>
    <n v="11540"/>
    <x v="1"/>
    <x v="1"/>
    <x v="10"/>
    <n v="4"/>
    <x v="4"/>
    <s v="Skilled Manual"/>
    <s v="Yes"/>
    <x v="0"/>
    <x v="3"/>
    <x v="2"/>
    <n v="47"/>
    <x v="0"/>
    <x v="1"/>
    <n v="1"/>
    <x v="3"/>
  </r>
  <r>
    <n v="11783"/>
    <x v="0"/>
    <x v="0"/>
    <x v="10"/>
    <n v="1"/>
    <x v="4"/>
    <s v="Skilled Manual"/>
    <s v="Yes"/>
    <x v="0"/>
    <x v="0"/>
    <x v="2"/>
    <n v="34"/>
    <x v="0"/>
    <x v="0"/>
    <n v="0"/>
    <x v="3"/>
  </r>
  <r>
    <n v="14602"/>
    <x v="0"/>
    <x v="0"/>
    <x v="2"/>
    <n v="3"/>
    <x v="4"/>
    <s v="Professional"/>
    <s v="Yes"/>
    <x v="0"/>
    <x v="0"/>
    <x v="2"/>
    <n v="36"/>
    <x v="0"/>
    <x v="1"/>
    <n v="1"/>
    <x v="1"/>
  </r>
  <r>
    <n v="29030"/>
    <x v="0"/>
    <x v="1"/>
    <x v="3"/>
    <n v="2"/>
    <x v="3"/>
    <s v="Skilled Manual"/>
    <s v="Yes"/>
    <x v="2"/>
    <x v="4"/>
    <x v="2"/>
    <n v="54"/>
    <x v="0"/>
    <x v="0"/>
    <n v="0"/>
    <x v="1"/>
  </r>
  <r>
    <n v="26490"/>
    <x v="1"/>
    <x v="1"/>
    <x v="3"/>
    <n v="2"/>
    <x v="0"/>
    <s v="Management"/>
    <s v="No"/>
    <x v="1"/>
    <x v="1"/>
    <x v="2"/>
    <n v="59"/>
    <x v="1"/>
    <x v="1"/>
    <n v="1"/>
    <x v="1"/>
  </r>
  <r>
    <n v="13151"/>
    <x v="1"/>
    <x v="1"/>
    <x v="0"/>
    <n v="0"/>
    <x v="2"/>
    <s v="Skilled Manual"/>
    <s v="Yes"/>
    <x v="2"/>
    <x v="2"/>
    <x v="2"/>
    <n v="27"/>
    <x v="2"/>
    <x v="0"/>
    <n v="0"/>
    <x v="0"/>
  </r>
  <r>
    <n v="17260"/>
    <x v="0"/>
    <x v="1"/>
    <x v="8"/>
    <n v="5"/>
    <x v="1"/>
    <s v="Professional"/>
    <s v="Yes"/>
    <x v="4"/>
    <x v="0"/>
    <x v="2"/>
    <n v="41"/>
    <x v="0"/>
    <x v="0"/>
    <n v="0"/>
    <x v="2"/>
  </r>
  <r>
    <n v="15372"/>
    <x v="0"/>
    <x v="1"/>
    <x v="2"/>
    <n v="3"/>
    <x v="1"/>
    <s v="Professional"/>
    <s v="No"/>
    <x v="2"/>
    <x v="1"/>
    <x v="2"/>
    <n v="50"/>
    <x v="0"/>
    <x v="1"/>
    <n v="1"/>
    <x v="1"/>
  </r>
  <r>
    <n v="18105"/>
    <x v="0"/>
    <x v="0"/>
    <x v="10"/>
    <n v="2"/>
    <x v="1"/>
    <s v="Professional"/>
    <s v="Yes"/>
    <x v="1"/>
    <x v="4"/>
    <x v="2"/>
    <n v="55"/>
    <x v="0"/>
    <x v="0"/>
    <n v="0"/>
    <x v="3"/>
  </r>
  <r>
    <n v="19660"/>
    <x v="0"/>
    <x v="1"/>
    <x v="2"/>
    <n v="4"/>
    <x v="0"/>
    <s v="Management"/>
    <s v="Yes"/>
    <x v="0"/>
    <x v="0"/>
    <x v="2"/>
    <n v="43"/>
    <x v="0"/>
    <x v="0"/>
    <n v="0"/>
    <x v="1"/>
  </r>
  <r>
    <n v="16112"/>
    <x v="1"/>
    <x v="1"/>
    <x v="3"/>
    <n v="4"/>
    <x v="0"/>
    <s v="Professional"/>
    <s v="Yes"/>
    <x v="2"/>
    <x v="1"/>
    <x v="2"/>
    <n v="43"/>
    <x v="0"/>
    <x v="1"/>
    <n v="1"/>
    <x v="1"/>
  </r>
  <r>
    <n v="20698"/>
    <x v="0"/>
    <x v="1"/>
    <x v="10"/>
    <n v="4"/>
    <x v="0"/>
    <s v="Skilled Manual"/>
    <s v="Yes"/>
    <x v="4"/>
    <x v="2"/>
    <x v="2"/>
    <n v="42"/>
    <x v="0"/>
    <x v="0"/>
    <n v="0"/>
    <x v="3"/>
  </r>
  <r>
    <n v="20076"/>
    <x v="1"/>
    <x v="0"/>
    <x v="4"/>
    <n v="2"/>
    <x v="2"/>
    <s v="Manual"/>
    <s v="Yes"/>
    <x v="2"/>
    <x v="3"/>
    <x v="2"/>
    <n v="53"/>
    <x v="0"/>
    <x v="1"/>
    <n v="1"/>
    <x v="0"/>
  </r>
  <r>
    <n v="24496"/>
    <x v="1"/>
    <x v="0"/>
    <x v="0"/>
    <n v="0"/>
    <x v="2"/>
    <s v="Skilled Manual"/>
    <s v="No"/>
    <x v="2"/>
    <x v="0"/>
    <x v="2"/>
    <n v="28"/>
    <x v="2"/>
    <x v="1"/>
    <n v="1"/>
    <x v="0"/>
  </r>
  <r>
    <n v="15468"/>
    <x v="0"/>
    <x v="0"/>
    <x v="14"/>
    <n v="1"/>
    <x v="0"/>
    <s v="Skilled Manual"/>
    <s v="Yes"/>
    <x v="1"/>
    <x v="0"/>
    <x v="2"/>
    <n v="35"/>
    <x v="0"/>
    <x v="0"/>
    <n v="0"/>
    <x v="3"/>
  </r>
  <r>
    <n v="28031"/>
    <x v="1"/>
    <x v="0"/>
    <x v="3"/>
    <n v="2"/>
    <x v="0"/>
    <s v="Management"/>
    <s v="No"/>
    <x v="1"/>
    <x v="1"/>
    <x v="2"/>
    <n v="59"/>
    <x v="1"/>
    <x v="1"/>
    <n v="1"/>
    <x v="1"/>
  </r>
  <r>
    <n v="26270"/>
    <x v="1"/>
    <x v="0"/>
    <x v="6"/>
    <n v="2"/>
    <x v="3"/>
    <s v="Clerical"/>
    <s v="Yes"/>
    <x v="2"/>
    <x v="3"/>
    <x v="2"/>
    <n v="49"/>
    <x v="0"/>
    <x v="0"/>
    <n v="0"/>
    <x v="0"/>
  </r>
  <r>
    <n v="22221"/>
    <x v="0"/>
    <x v="1"/>
    <x v="10"/>
    <n v="2"/>
    <x v="2"/>
    <s v="Professional"/>
    <s v="No"/>
    <x v="2"/>
    <x v="3"/>
    <x v="2"/>
    <n v="48"/>
    <x v="0"/>
    <x v="1"/>
    <n v="1"/>
    <x v="3"/>
  </r>
  <r>
    <n v="28228"/>
    <x v="1"/>
    <x v="0"/>
    <x v="2"/>
    <n v="2"/>
    <x v="3"/>
    <s v="Skilled Manual"/>
    <s v="No"/>
    <x v="2"/>
    <x v="3"/>
    <x v="2"/>
    <n v="50"/>
    <x v="0"/>
    <x v="0"/>
    <n v="0"/>
    <x v="1"/>
  </r>
  <r>
    <n v="18363"/>
    <x v="0"/>
    <x v="1"/>
    <x v="0"/>
    <n v="0"/>
    <x v="2"/>
    <s v="Skilled Manual"/>
    <s v="Yes"/>
    <x v="2"/>
    <x v="2"/>
    <x v="2"/>
    <n v="28"/>
    <x v="2"/>
    <x v="1"/>
    <n v="1"/>
    <x v="0"/>
  </r>
  <r>
    <n v="23256"/>
    <x v="1"/>
    <x v="1"/>
    <x v="1"/>
    <n v="1"/>
    <x v="2"/>
    <s v="Clerical"/>
    <s v="No"/>
    <x v="1"/>
    <x v="2"/>
    <x v="2"/>
    <n v="52"/>
    <x v="0"/>
    <x v="0"/>
    <n v="0"/>
    <x v="0"/>
  </r>
  <r>
    <n v="12768"/>
    <x v="0"/>
    <x v="1"/>
    <x v="1"/>
    <n v="1"/>
    <x v="2"/>
    <s v="Clerical"/>
    <s v="Yes"/>
    <x v="1"/>
    <x v="1"/>
    <x v="2"/>
    <n v="52"/>
    <x v="0"/>
    <x v="1"/>
    <n v="1"/>
    <x v="0"/>
  </r>
  <r>
    <n v="20361"/>
    <x v="0"/>
    <x v="1"/>
    <x v="14"/>
    <n v="2"/>
    <x v="4"/>
    <s v="Management"/>
    <s v="Yes"/>
    <x v="2"/>
    <x v="2"/>
    <x v="2"/>
    <n v="69"/>
    <x v="1"/>
    <x v="0"/>
    <n v="0"/>
    <x v="3"/>
  </r>
  <r>
    <n v="21306"/>
    <x v="1"/>
    <x v="1"/>
    <x v="10"/>
    <n v="2"/>
    <x v="2"/>
    <s v="Professional"/>
    <s v="Yes"/>
    <x v="2"/>
    <x v="2"/>
    <x v="2"/>
    <n v="51"/>
    <x v="0"/>
    <x v="0"/>
    <n v="0"/>
    <x v="3"/>
  </r>
  <r>
    <n v="13382"/>
    <x v="0"/>
    <x v="1"/>
    <x v="3"/>
    <n v="5"/>
    <x v="1"/>
    <s v="Professional"/>
    <s v="Yes"/>
    <x v="2"/>
    <x v="3"/>
    <x v="2"/>
    <n v="57"/>
    <x v="1"/>
    <x v="1"/>
    <n v="1"/>
    <x v="1"/>
  </r>
  <r>
    <n v="20310"/>
    <x v="1"/>
    <x v="1"/>
    <x v="10"/>
    <n v="0"/>
    <x v="1"/>
    <s v="Skilled Manual"/>
    <s v="Yes"/>
    <x v="1"/>
    <x v="2"/>
    <x v="2"/>
    <n v="27"/>
    <x v="2"/>
    <x v="1"/>
    <n v="1"/>
    <x v="3"/>
  </r>
  <r>
    <n v="22971"/>
    <x v="1"/>
    <x v="0"/>
    <x v="1"/>
    <n v="0"/>
    <x v="2"/>
    <s v="Skilled Manual"/>
    <s v="No"/>
    <x v="2"/>
    <x v="0"/>
    <x v="2"/>
    <n v="25"/>
    <x v="2"/>
    <x v="1"/>
    <n v="1"/>
    <x v="0"/>
  </r>
  <r>
    <n v="15287"/>
    <x v="1"/>
    <x v="0"/>
    <x v="14"/>
    <n v="1"/>
    <x v="4"/>
    <s v="Skilled Manual"/>
    <s v="Yes"/>
    <x v="0"/>
    <x v="3"/>
    <x v="2"/>
    <n v="33"/>
    <x v="0"/>
    <x v="1"/>
    <n v="1"/>
    <x v="3"/>
  </r>
  <r>
    <n v="15532"/>
    <x v="1"/>
    <x v="1"/>
    <x v="10"/>
    <n v="4"/>
    <x v="0"/>
    <s v="Professional"/>
    <s v="Yes"/>
    <x v="2"/>
    <x v="1"/>
    <x v="2"/>
    <n v="43"/>
    <x v="0"/>
    <x v="1"/>
    <n v="1"/>
    <x v="3"/>
  </r>
  <r>
    <n v="11255"/>
    <x v="0"/>
    <x v="1"/>
    <x v="3"/>
    <n v="4"/>
    <x v="4"/>
    <s v="Management"/>
    <s v="Yes"/>
    <x v="2"/>
    <x v="2"/>
    <x v="2"/>
    <n v="73"/>
    <x v="1"/>
    <x v="0"/>
    <n v="0"/>
    <x v="1"/>
  </r>
  <r>
    <n v="28090"/>
    <x v="0"/>
    <x v="1"/>
    <x v="0"/>
    <n v="0"/>
    <x v="1"/>
    <s v="Skilled Manual"/>
    <s v="Yes"/>
    <x v="1"/>
    <x v="2"/>
    <x v="2"/>
    <n v="27"/>
    <x v="2"/>
    <x v="0"/>
    <n v="0"/>
    <x v="0"/>
  </r>
  <r>
    <n v="15255"/>
    <x v="0"/>
    <x v="1"/>
    <x v="0"/>
    <n v="0"/>
    <x v="2"/>
    <s v="Skilled Manual"/>
    <s v="Yes"/>
    <x v="2"/>
    <x v="2"/>
    <x v="2"/>
    <n v="28"/>
    <x v="2"/>
    <x v="1"/>
    <n v="1"/>
    <x v="0"/>
  </r>
  <r>
    <n v="13154"/>
    <x v="0"/>
    <x v="1"/>
    <x v="0"/>
    <n v="0"/>
    <x v="2"/>
    <s v="Skilled Manual"/>
    <s v="No"/>
    <x v="2"/>
    <x v="0"/>
    <x v="2"/>
    <n v="27"/>
    <x v="2"/>
    <x v="1"/>
    <n v="1"/>
    <x v="0"/>
  </r>
  <r>
    <n v="26778"/>
    <x v="1"/>
    <x v="0"/>
    <x v="0"/>
    <n v="0"/>
    <x v="2"/>
    <s v="Skilled Manual"/>
    <s v="Yes"/>
    <x v="2"/>
    <x v="2"/>
    <x v="2"/>
    <n v="31"/>
    <x v="0"/>
    <x v="0"/>
    <n v="0"/>
    <x v="0"/>
  </r>
  <r>
    <n v="23248"/>
    <x v="0"/>
    <x v="0"/>
    <x v="4"/>
    <n v="2"/>
    <x v="2"/>
    <s v="Manual"/>
    <s v="Yes"/>
    <x v="2"/>
    <x v="3"/>
    <x v="2"/>
    <n v="53"/>
    <x v="0"/>
    <x v="0"/>
    <n v="0"/>
    <x v="0"/>
  </r>
  <r>
    <n v="21417"/>
    <x v="1"/>
    <x v="0"/>
    <x v="10"/>
    <n v="0"/>
    <x v="1"/>
    <s v="Professional"/>
    <s v="No"/>
    <x v="2"/>
    <x v="3"/>
    <x v="2"/>
    <n v="32"/>
    <x v="0"/>
    <x v="1"/>
    <n v="1"/>
    <x v="3"/>
  </r>
  <r>
    <n v="17668"/>
    <x v="1"/>
    <x v="1"/>
    <x v="1"/>
    <n v="2"/>
    <x v="2"/>
    <s v="Skilled Manual"/>
    <s v="Yes"/>
    <x v="2"/>
    <x v="3"/>
    <x v="2"/>
    <n v="50"/>
    <x v="0"/>
    <x v="1"/>
    <n v="1"/>
    <x v="0"/>
  </r>
  <r>
    <n v="27994"/>
    <x v="0"/>
    <x v="0"/>
    <x v="0"/>
    <n v="4"/>
    <x v="2"/>
    <s v="Professional"/>
    <s v="Yes"/>
    <x v="2"/>
    <x v="2"/>
    <x v="2"/>
    <n v="69"/>
    <x v="1"/>
    <x v="0"/>
    <n v="0"/>
    <x v="0"/>
  </r>
  <r>
    <n v="20376"/>
    <x v="1"/>
    <x v="0"/>
    <x v="3"/>
    <n v="3"/>
    <x v="4"/>
    <s v="Management"/>
    <s v="Yes"/>
    <x v="2"/>
    <x v="2"/>
    <x v="2"/>
    <n v="52"/>
    <x v="0"/>
    <x v="1"/>
    <n v="1"/>
    <x v="1"/>
  </r>
  <r>
    <n v="25954"/>
    <x v="0"/>
    <x v="1"/>
    <x v="10"/>
    <n v="0"/>
    <x v="1"/>
    <s v="Skilled Manual"/>
    <s v="No"/>
    <x v="2"/>
    <x v="3"/>
    <x v="2"/>
    <n v="31"/>
    <x v="0"/>
    <x v="0"/>
    <n v="0"/>
    <x v="3"/>
  </r>
  <r>
    <n v="15749"/>
    <x v="1"/>
    <x v="0"/>
    <x v="3"/>
    <n v="4"/>
    <x v="0"/>
    <s v="Management"/>
    <s v="Yes"/>
    <x v="2"/>
    <x v="4"/>
    <x v="2"/>
    <n v="61"/>
    <x v="1"/>
    <x v="0"/>
    <n v="0"/>
    <x v="1"/>
  </r>
  <r>
    <n v="25899"/>
    <x v="0"/>
    <x v="0"/>
    <x v="3"/>
    <n v="2"/>
    <x v="2"/>
    <s v="Professional"/>
    <s v="Yes"/>
    <x v="2"/>
    <x v="4"/>
    <x v="2"/>
    <n v="53"/>
    <x v="0"/>
    <x v="0"/>
    <n v="0"/>
    <x v="1"/>
  </r>
  <r>
    <n v="13351"/>
    <x v="1"/>
    <x v="0"/>
    <x v="3"/>
    <n v="4"/>
    <x v="0"/>
    <s v="Management"/>
    <s v="Yes"/>
    <x v="2"/>
    <x v="3"/>
    <x v="2"/>
    <n v="62"/>
    <x v="1"/>
    <x v="1"/>
    <n v="1"/>
    <x v="1"/>
  </r>
  <r>
    <n v="23333"/>
    <x v="0"/>
    <x v="1"/>
    <x v="0"/>
    <n v="0"/>
    <x v="1"/>
    <s v="Skilled Manual"/>
    <s v="No"/>
    <x v="2"/>
    <x v="3"/>
    <x v="2"/>
    <n v="30"/>
    <x v="2"/>
    <x v="0"/>
    <n v="0"/>
    <x v="0"/>
  </r>
  <r>
    <n v="21660"/>
    <x v="0"/>
    <x v="0"/>
    <x v="10"/>
    <n v="3"/>
    <x v="4"/>
    <s v="Professional"/>
    <s v="Yes"/>
    <x v="0"/>
    <x v="1"/>
    <x v="2"/>
    <n v="43"/>
    <x v="0"/>
    <x v="1"/>
    <n v="1"/>
    <x v="3"/>
  </r>
  <r>
    <n v="17012"/>
    <x v="0"/>
    <x v="0"/>
    <x v="10"/>
    <n v="3"/>
    <x v="4"/>
    <s v="Professional"/>
    <s v="Yes"/>
    <x v="0"/>
    <x v="1"/>
    <x v="2"/>
    <n v="42"/>
    <x v="0"/>
    <x v="1"/>
    <n v="1"/>
    <x v="3"/>
  </r>
  <r>
    <n v="24514"/>
    <x v="0"/>
    <x v="1"/>
    <x v="0"/>
    <n v="0"/>
    <x v="1"/>
    <s v="Skilled Manual"/>
    <s v="Yes"/>
    <x v="1"/>
    <x v="2"/>
    <x v="2"/>
    <n v="30"/>
    <x v="2"/>
    <x v="0"/>
    <n v="0"/>
    <x v="0"/>
  </r>
  <r>
    <n v="27505"/>
    <x v="1"/>
    <x v="0"/>
    <x v="0"/>
    <n v="0"/>
    <x v="2"/>
    <s v="Skilled Manual"/>
    <s v="Yes"/>
    <x v="2"/>
    <x v="2"/>
    <x v="2"/>
    <n v="30"/>
    <x v="2"/>
    <x v="0"/>
    <n v="0"/>
    <x v="0"/>
  </r>
  <r>
    <n v="29243"/>
    <x v="1"/>
    <x v="1"/>
    <x v="15"/>
    <n v="1"/>
    <x v="0"/>
    <s v="Management"/>
    <s v="Yes"/>
    <x v="1"/>
    <x v="2"/>
    <x v="2"/>
    <n v="43"/>
    <x v="0"/>
    <x v="0"/>
    <n v="0"/>
    <x v="2"/>
  </r>
  <r>
    <n v="26582"/>
    <x v="0"/>
    <x v="1"/>
    <x v="10"/>
    <n v="0"/>
    <x v="1"/>
    <s v="Skilled Manual"/>
    <s v="Yes"/>
    <x v="2"/>
    <x v="2"/>
    <x v="2"/>
    <n v="33"/>
    <x v="0"/>
    <x v="1"/>
    <n v="1"/>
    <x v="3"/>
  </r>
  <r>
    <n v="14271"/>
    <x v="0"/>
    <x v="1"/>
    <x v="1"/>
    <n v="0"/>
    <x v="2"/>
    <s v="Skilled Manual"/>
    <s v="Yes"/>
    <x v="2"/>
    <x v="2"/>
    <x v="2"/>
    <n v="32"/>
    <x v="0"/>
    <x v="0"/>
    <n v="0"/>
    <x v="0"/>
  </r>
  <r>
    <n v="23041"/>
    <x v="1"/>
    <x v="0"/>
    <x v="3"/>
    <n v="4"/>
    <x v="2"/>
    <s v="Professional"/>
    <s v="Yes"/>
    <x v="0"/>
    <x v="2"/>
    <x v="2"/>
    <n v="50"/>
    <x v="0"/>
    <x v="1"/>
    <n v="1"/>
    <x v="1"/>
  </r>
  <r>
    <n v="29048"/>
    <x v="1"/>
    <x v="1"/>
    <x v="15"/>
    <n v="2"/>
    <x v="0"/>
    <s v="Management"/>
    <s v="No"/>
    <x v="4"/>
    <x v="0"/>
    <x v="2"/>
    <n v="37"/>
    <x v="0"/>
    <x v="1"/>
    <n v="1"/>
    <x v="2"/>
  </r>
  <r>
    <n v="24433"/>
    <x v="0"/>
    <x v="1"/>
    <x v="3"/>
    <n v="3"/>
    <x v="2"/>
    <s v="Professional"/>
    <s v="No"/>
    <x v="1"/>
    <x v="3"/>
    <x v="2"/>
    <n v="52"/>
    <x v="0"/>
    <x v="1"/>
    <n v="1"/>
    <x v="1"/>
  </r>
  <r>
    <n v="15501"/>
    <x v="0"/>
    <x v="1"/>
    <x v="3"/>
    <n v="4"/>
    <x v="4"/>
    <s v="Professional"/>
    <s v="Yes"/>
    <x v="0"/>
    <x v="1"/>
    <x v="2"/>
    <n v="36"/>
    <x v="0"/>
    <x v="1"/>
    <n v="1"/>
    <x v="1"/>
  </r>
  <r>
    <n v="13911"/>
    <x v="1"/>
    <x v="0"/>
    <x v="2"/>
    <n v="3"/>
    <x v="0"/>
    <s v="Skilled Manual"/>
    <s v="Yes"/>
    <x v="2"/>
    <x v="1"/>
    <x v="2"/>
    <n v="41"/>
    <x v="0"/>
    <x v="1"/>
    <n v="1"/>
    <x v="1"/>
  </r>
  <r>
    <n v="20421"/>
    <x v="1"/>
    <x v="0"/>
    <x v="0"/>
    <n v="0"/>
    <x v="3"/>
    <s v="Clerical"/>
    <s v="Yes"/>
    <x v="2"/>
    <x v="2"/>
    <x v="2"/>
    <n v="26"/>
    <x v="2"/>
    <x v="0"/>
    <n v="0"/>
    <x v="0"/>
  </r>
  <r>
    <n v="16009"/>
    <x v="1"/>
    <x v="1"/>
    <x v="9"/>
    <n v="1"/>
    <x v="4"/>
    <s v="Management"/>
    <s v="No"/>
    <x v="3"/>
    <x v="0"/>
    <x v="2"/>
    <n v="66"/>
    <x v="1"/>
    <x v="0"/>
    <n v="0"/>
    <x v="2"/>
  </r>
  <r>
    <n v="18411"/>
    <x v="0"/>
    <x v="1"/>
    <x v="10"/>
    <n v="2"/>
    <x v="2"/>
    <s v="Professional"/>
    <s v="No"/>
    <x v="2"/>
    <x v="2"/>
    <x v="2"/>
    <n v="51"/>
    <x v="0"/>
    <x v="0"/>
    <n v="0"/>
    <x v="3"/>
  </r>
  <r>
    <n v="19163"/>
    <x v="0"/>
    <x v="0"/>
    <x v="3"/>
    <n v="4"/>
    <x v="0"/>
    <s v="Professional"/>
    <s v="Yes"/>
    <x v="2"/>
    <x v="0"/>
    <x v="2"/>
    <n v="43"/>
    <x v="0"/>
    <x v="1"/>
    <n v="1"/>
    <x v="1"/>
  </r>
  <r>
    <n v="18572"/>
    <x v="0"/>
    <x v="0"/>
    <x v="10"/>
    <n v="0"/>
    <x v="4"/>
    <s v="Professional"/>
    <s v="Yes"/>
    <x v="0"/>
    <x v="0"/>
    <x v="2"/>
    <n v="39"/>
    <x v="0"/>
    <x v="0"/>
    <n v="0"/>
    <x v="3"/>
  </r>
  <r>
    <n v="27540"/>
    <x v="1"/>
    <x v="0"/>
    <x v="3"/>
    <n v="0"/>
    <x v="0"/>
    <s v="Professional"/>
    <s v="No"/>
    <x v="1"/>
    <x v="0"/>
    <x v="2"/>
    <n v="37"/>
    <x v="0"/>
    <x v="1"/>
    <n v="1"/>
    <x v="1"/>
  </r>
  <r>
    <n v="19889"/>
    <x v="1"/>
    <x v="0"/>
    <x v="3"/>
    <n v="2"/>
    <x v="3"/>
    <s v="Skilled Manual"/>
    <s v="No"/>
    <x v="2"/>
    <x v="1"/>
    <x v="2"/>
    <n v="54"/>
    <x v="0"/>
    <x v="1"/>
    <n v="1"/>
    <x v="1"/>
  </r>
  <r>
    <n v="12922"/>
    <x v="1"/>
    <x v="0"/>
    <x v="10"/>
    <n v="3"/>
    <x v="0"/>
    <s v="Skilled Manual"/>
    <s v="Yes"/>
    <x v="0"/>
    <x v="1"/>
    <x v="2"/>
    <n v="40"/>
    <x v="0"/>
    <x v="1"/>
    <n v="1"/>
    <x v="3"/>
  </r>
  <r>
    <n v="18891"/>
    <x v="0"/>
    <x v="0"/>
    <x v="0"/>
    <n v="0"/>
    <x v="1"/>
    <s v="Skilled Manual"/>
    <s v="Yes"/>
    <x v="2"/>
    <x v="2"/>
    <x v="2"/>
    <n v="28"/>
    <x v="2"/>
    <x v="0"/>
    <n v="0"/>
    <x v="0"/>
  </r>
  <r>
    <n v="16773"/>
    <x v="0"/>
    <x v="1"/>
    <x v="10"/>
    <n v="1"/>
    <x v="4"/>
    <s v="Skilled Manual"/>
    <s v="Yes"/>
    <x v="0"/>
    <x v="0"/>
    <x v="2"/>
    <n v="33"/>
    <x v="0"/>
    <x v="0"/>
    <n v="0"/>
    <x v="3"/>
  </r>
  <r>
    <n v="19143"/>
    <x v="1"/>
    <x v="0"/>
    <x v="2"/>
    <n v="3"/>
    <x v="0"/>
    <s v="Skilled Manual"/>
    <s v="Yes"/>
    <x v="2"/>
    <x v="1"/>
    <x v="2"/>
    <n v="41"/>
    <x v="0"/>
    <x v="1"/>
    <n v="1"/>
    <x v="1"/>
  </r>
  <r>
    <n v="23882"/>
    <x v="1"/>
    <x v="0"/>
    <x v="2"/>
    <n v="3"/>
    <x v="4"/>
    <s v="Professional"/>
    <s v="Yes"/>
    <x v="0"/>
    <x v="0"/>
    <x v="2"/>
    <n v="37"/>
    <x v="0"/>
    <x v="1"/>
    <n v="1"/>
    <x v="1"/>
  </r>
  <r>
    <n v="11233"/>
    <x v="0"/>
    <x v="1"/>
    <x v="3"/>
    <n v="4"/>
    <x v="1"/>
    <s v="Professional"/>
    <s v="Yes"/>
    <x v="2"/>
    <x v="4"/>
    <x v="2"/>
    <n v="53"/>
    <x v="0"/>
    <x v="0"/>
    <n v="0"/>
    <x v="1"/>
  </r>
  <r>
    <n v="12056"/>
    <x v="0"/>
    <x v="1"/>
    <x v="7"/>
    <n v="2"/>
    <x v="4"/>
    <s v="Management"/>
    <s v="Yes"/>
    <x v="4"/>
    <x v="2"/>
    <x v="2"/>
    <n v="64"/>
    <x v="1"/>
    <x v="0"/>
    <n v="0"/>
    <x v="2"/>
  </r>
  <r>
    <n v="15555"/>
    <x v="0"/>
    <x v="0"/>
    <x v="10"/>
    <n v="1"/>
    <x v="1"/>
    <s v="Skilled Manual"/>
    <s v="Yes"/>
    <x v="1"/>
    <x v="1"/>
    <x v="2"/>
    <n v="45"/>
    <x v="0"/>
    <x v="1"/>
    <n v="1"/>
    <x v="3"/>
  </r>
  <r>
    <n v="18423"/>
    <x v="1"/>
    <x v="1"/>
    <x v="2"/>
    <n v="2"/>
    <x v="3"/>
    <s v="Skilled Manual"/>
    <s v="No"/>
    <x v="2"/>
    <x v="3"/>
    <x v="2"/>
    <n v="52"/>
    <x v="0"/>
    <x v="0"/>
    <n v="0"/>
    <x v="1"/>
  </r>
  <r>
    <n v="22743"/>
    <x v="0"/>
    <x v="0"/>
    <x v="0"/>
    <n v="5"/>
    <x v="2"/>
    <s v="Professional"/>
    <s v="Yes"/>
    <x v="2"/>
    <x v="4"/>
    <x v="2"/>
    <n v="60"/>
    <x v="1"/>
    <x v="0"/>
    <n v="0"/>
    <x v="0"/>
  </r>
  <r>
    <n v="25343"/>
    <x v="1"/>
    <x v="0"/>
    <x v="6"/>
    <n v="3"/>
    <x v="3"/>
    <s v="Clerical"/>
    <s v="Yes"/>
    <x v="2"/>
    <x v="3"/>
    <x v="2"/>
    <n v="50"/>
    <x v="0"/>
    <x v="0"/>
    <n v="0"/>
    <x v="0"/>
  </r>
  <r>
    <n v="13390"/>
    <x v="0"/>
    <x v="0"/>
    <x v="3"/>
    <n v="4"/>
    <x v="1"/>
    <s v="Professional"/>
    <s v="No"/>
    <x v="1"/>
    <x v="3"/>
    <x v="2"/>
    <n v="56"/>
    <x v="1"/>
    <x v="0"/>
    <n v="0"/>
    <x v="1"/>
  </r>
  <r>
    <n v="17482"/>
    <x v="1"/>
    <x v="0"/>
    <x v="0"/>
    <n v="0"/>
    <x v="3"/>
    <s v="Clerical"/>
    <s v="Yes"/>
    <x v="2"/>
    <x v="2"/>
    <x v="2"/>
    <n v="29"/>
    <x v="2"/>
    <x v="0"/>
    <n v="0"/>
    <x v="0"/>
  </r>
  <r>
    <n v="13176"/>
    <x v="1"/>
    <x v="1"/>
    <x v="12"/>
    <n v="0"/>
    <x v="4"/>
    <s v="Management"/>
    <s v="No"/>
    <x v="2"/>
    <x v="0"/>
    <x v="2"/>
    <n v="38"/>
    <x v="0"/>
    <x v="1"/>
    <n v="1"/>
    <x v="2"/>
  </r>
  <r>
    <n v="20504"/>
    <x v="0"/>
    <x v="0"/>
    <x v="0"/>
    <n v="5"/>
    <x v="2"/>
    <s v="Professional"/>
    <s v="No"/>
    <x v="2"/>
    <x v="1"/>
    <x v="2"/>
    <n v="60"/>
    <x v="1"/>
    <x v="0"/>
    <n v="0"/>
    <x v="0"/>
  </r>
  <r>
    <n v="12205"/>
    <x v="1"/>
    <x v="0"/>
    <x v="12"/>
    <n v="2"/>
    <x v="0"/>
    <s v="Management"/>
    <s v="No"/>
    <x v="3"/>
    <x v="0"/>
    <x v="2"/>
    <n v="67"/>
    <x v="1"/>
    <x v="0"/>
    <n v="0"/>
    <x v="2"/>
  </r>
  <r>
    <n v="16751"/>
    <x v="0"/>
    <x v="1"/>
    <x v="10"/>
    <n v="0"/>
    <x v="1"/>
    <s v="Skilled Manual"/>
    <s v="Yes"/>
    <x v="1"/>
    <x v="2"/>
    <x v="2"/>
    <n v="32"/>
    <x v="0"/>
    <x v="1"/>
    <n v="1"/>
    <x v="3"/>
  </r>
  <r>
    <n v="21613"/>
    <x v="1"/>
    <x v="1"/>
    <x v="14"/>
    <n v="2"/>
    <x v="0"/>
    <s v="Skilled Manual"/>
    <s v="No"/>
    <x v="1"/>
    <x v="0"/>
    <x v="2"/>
    <n v="39"/>
    <x v="0"/>
    <x v="1"/>
    <n v="1"/>
    <x v="3"/>
  </r>
  <r>
    <n v="24801"/>
    <x v="1"/>
    <x v="1"/>
    <x v="10"/>
    <n v="1"/>
    <x v="4"/>
    <s v="Professional"/>
    <s v="Yes"/>
    <x v="0"/>
    <x v="1"/>
    <x v="2"/>
    <n v="35"/>
    <x v="0"/>
    <x v="1"/>
    <n v="1"/>
    <x v="3"/>
  </r>
  <r>
    <n v="17519"/>
    <x v="0"/>
    <x v="0"/>
    <x v="10"/>
    <n v="0"/>
    <x v="1"/>
    <s v="Professional"/>
    <s v="Yes"/>
    <x v="2"/>
    <x v="2"/>
    <x v="2"/>
    <n v="32"/>
    <x v="0"/>
    <x v="0"/>
    <n v="0"/>
    <x v="3"/>
  </r>
  <r>
    <n v="18347"/>
    <x v="1"/>
    <x v="0"/>
    <x v="1"/>
    <n v="0"/>
    <x v="1"/>
    <s v="Skilled Manual"/>
    <s v="No"/>
    <x v="1"/>
    <x v="3"/>
    <x v="2"/>
    <n v="31"/>
    <x v="0"/>
    <x v="0"/>
    <n v="0"/>
    <x v="0"/>
  </r>
  <r>
    <n v="29052"/>
    <x v="1"/>
    <x v="1"/>
    <x v="0"/>
    <n v="0"/>
    <x v="1"/>
    <s v="Skilled Manual"/>
    <s v="Yes"/>
    <x v="1"/>
    <x v="2"/>
    <x v="2"/>
    <n v="27"/>
    <x v="2"/>
    <x v="0"/>
    <n v="0"/>
    <x v="0"/>
  </r>
  <r>
    <n v="11745"/>
    <x v="0"/>
    <x v="0"/>
    <x v="10"/>
    <n v="1"/>
    <x v="0"/>
    <s v="Professional"/>
    <s v="Yes"/>
    <x v="1"/>
    <x v="0"/>
    <x v="2"/>
    <n v="47"/>
    <x v="0"/>
    <x v="1"/>
    <n v="1"/>
    <x v="3"/>
  </r>
  <r>
    <n v="19147"/>
    <x v="0"/>
    <x v="1"/>
    <x v="0"/>
    <n v="0"/>
    <x v="0"/>
    <s v="Professional"/>
    <s v="No"/>
    <x v="1"/>
    <x v="0"/>
    <x v="2"/>
    <n v="42"/>
    <x v="0"/>
    <x v="0"/>
    <n v="0"/>
    <x v="0"/>
  </r>
  <r>
    <n v="19217"/>
    <x v="0"/>
    <x v="1"/>
    <x v="1"/>
    <n v="2"/>
    <x v="2"/>
    <s v="Skilled Manual"/>
    <s v="Yes"/>
    <x v="2"/>
    <x v="3"/>
    <x v="2"/>
    <n v="49"/>
    <x v="0"/>
    <x v="0"/>
    <n v="0"/>
    <x v="0"/>
  </r>
  <r>
    <n v="15839"/>
    <x v="1"/>
    <x v="1"/>
    <x v="1"/>
    <n v="0"/>
    <x v="1"/>
    <s v="Skilled Manual"/>
    <s v="Yes"/>
    <x v="1"/>
    <x v="2"/>
    <x v="2"/>
    <n v="32"/>
    <x v="0"/>
    <x v="0"/>
    <n v="0"/>
    <x v="0"/>
  </r>
  <r>
    <n v="13714"/>
    <x v="0"/>
    <x v="0"/>
    <x v="6"/>
    <n v="2"/>
    <x v="2"/>
    <s v="Manual"/>
    <s v="No"/>
    <x v="2"/>
    <x v="3"/>
    <x v="2"/>
    <n v="53"/>
    <x v="0"/>
    <x v="1"/>
    <n v="1"/>
    <x v="0"/>
  </r>
  <r>
    <n v="22330"/>
    <x v="0"/>
    <x v="1"/>
    <x v="14"/>
    <n v="0"/>
    <x v="4"/>
    <s v="Skilled Manual"/>
    <s v="Yes"/>
    <x v="0"/>
    <x v="3"/>
    <x v="2"/>
    <n v="32"/>
    <x v="0"/>
    <x v="1"/>
    <n v="1"/>
    <x v="3"/>
  </r>
  <r>
    <n v="18783"/>
    <x v="1"/>
    <x v="1"/>
    <x v="2"/>
    <n v="0"/>
    <x v="0"/>
    <s v="Management"/>
    <s v="No"/>
    <x v="1"/>
    <x v="0"/>
    <x v="2"/>
    <n v="38"/>
    <x v="0"/>
    <x v="1"/>
    <n v="1"/>
    <x v="1"/>
  </r>
  <r>
    <n v="25041"/>
    <x v="1"/>
    <x v="1"/>
    <x v="0"/>
    <n v="0"/>
    <x v="2"/>
    <s v="Skilled Manual"/>
    <s v="Yes"/>
    <x v="2"/>
    <x v="2"/>
    <x v="2"/>
    <n v="31"/>
    <x v="0"/>
    <x v="0"/>
    <n v="0"/>
    <x v="0"/>
  </r>
  <r>
    <n v="22046"/>
    <x v="1"/>
    <x v="0"/>
    <x v="2"/>
    <n v="0"/>
    <x v="0"/>
    <s v="Management"/>
    <s v="No"/>
    <x v="1"/>
    <x v="0"/>
    <x v="2"/>
    <n v="38"/>
    <x v="0"/>
    <x v="1"/>
    <n v="1"/>
    <x v="1"/>
  </r>
  <r>
    <n v="28052"/>
    <x v="0"/>
    <x v="1"/>
    <x v="10"/>
    <n v="2"/>
    <x v="2"/>
    <s v="Professional"/>
    <s v="Yes"/>
    <x v="2"/>
    <x v="4"/>
    <x v="2"/>
    <n v="55"/>
    <x v="0"/>
    <x v="0"/>
    <n v="0"/>
    <x v="3"/>
  </r>
  <r>
    <n v="26693"/>
    <x v="0"/>
    <x v="1"/>
    <x v="3"/>
    <n v="3"/>
    <x v="1"/>
    <s v="Professional"/>
    <s v="Yes"/>
    <x v="1"/>
    <x v="2"/>
    <x v="2"/>
    <n v="49"/>
    <x v="0"/>
    <x v="0"/>
    <n v="0"/>
    <x v="1"/>
  </r>
  <r>
    <n v="24955"/>
    <x v="1"/>
    <x v="1"/>
    <x v="1"/>
    <n v="5"/>
    <x v="3"/>
    <s v="Skilled Manual"/>
    <s v="Yes"/>
    <x v="4"/>
    <x v="4"/>
    <x v="2"/>
    <n v="60"/>
    <x v="1"/>
    <x v="1"/>
    <n v="1"/>
    <x v="0"/>
  </r>
  <r>
    <n v="26065"/>
    <x v="1"/>
    <x v="0"/>
    <x v="15"/>
    <n v="3"/>
    <x v="0"/>
    <s v="Management"/>
    <s v="No"/>
    <x v="3"/>
    <x v="3"/>
    <x v="2"/>
    <n v="42"/>
    <x v="0"/>
    <x v="0"/>
    <n v="0"/>
    <x v="2"/>
  </r>
  <r>
    <n v="13942"/>
    <x v="0"/>
    <x v="1"/>
    <x v="10"/>
    <n v="1"/>
    <x v="1"/>
    <s v="Skilled Manual"/>
    <s v="Yes"/>
    <x v="1"/>
    <x v="0"/>
    <x v="2"/>
    <n v="46"/>
    <x v="0"/>
    <x v="0"/>
    <n v="0"/>
    <x v="3"/>
  </r>
  <r>
    <n v="11219"/>
    <x v="0"/>
    <x v="1"/>
    <x v="10"/>
    <n v="2"/>
    <x v="2"/>
    <s v="Professional"/>
    <s v="Yes"/>
    <x v="2"/>
    <x v="4"/>
    <x v="2"/>
    <n v="55"/>
    <x v="0"/>
    <x v="0"/>
    <n v="0"/>
    <x v="3"/>
  </r>
  <r>
    <n v="22118"/>
    <x v="1"/>
    <x v="0"/>
    <x v="3"/>
    <n v="3"/>
    <x v="4"/>
    <s v="Management"/>
    <s v="Yes"/>
    <x v="2"/>
    <x v="2"/>
    <x v="2"/>
    <n v="53"/>
    <x v="0"/>
    <x v="1"/>
    <n v="1"/>
    <x v="1"/>
  </r>
  <r>
    <n v="23197"/>
    <x v="0"/>
    <x v="1"/>
    <x v="14"/>
    <n v="3"/>
    <x v="0"/>
    <s v="Skilled Manual"/>
    <s v="Yes"/>
    <x v="2"/>
    <x v="1"/>
    <x v="2"/>
    <n v="40"/>
    <x v="0"/>
    <x v="0"/>
    <n v="0"/>
    <x v="3"/>
  </r>
  <r>
    <n v="14883"/>
    <x v="0"/>
    <x v="0"/>
    <x v="1"/>
    <n v="1"/>
    <x v="0"/>
    <s v="Skilled Manual"/>
    <s v="Yes"/>
    <x v="1"/>
    <x v="2"/>
    <x v="2"/>
    <n v="53"/>
    <x v="0"/>
    <x v="1"/>
    <n v="1"/>
    <x v="0"/>
  </r>
  <r>
    <n v="27279"/>
    <x v="1"/>
    <x v="0"/>
    <x v="3"/>
    <n v="2"/>
    <x v="0"/>
    <s v="Skilled Manual"/>
    <s v="Yes"/>
    <x v="0"/>
    <x v="1"/>
    <x v="2"/>
    <n v="38"/>
    <x v="0"/>
    <x v="1"/>
    <n v="1"/>
    <x v="1"/>
  </r>
  <r>
    <n v="18322"/>
    <x v="1"/>
    <x v="1"/>
    <x v="1"/>
    <n v="0"/>
    <x v="3"/>
    <s v="Clerical"/>
    <s v="No"/>
    <x v="2"/>
    <x v="0"/>
    <x v="2"/>
    <n v="26"/>
    <x v="2"/>
    <x v="0"/>
    <n v="0"/>
    <x v="0"/>
  </r>
  <r>
    <n v="15879"/>
    <x v="0"/>
    <x v="1"/>
    <x v="3"/>
    <n v="5"/>
    <x v="0"/>
    <s v="Management"/>
    <s v="Yes"/>
    <x v="2"/>
    <x v="1"/>
    <x v="2"/>
    <n v="61"/>
    <x v="1"/>
    <x v="0"/>
    <n v="0"/>
    <x v="1"/>
  </r>
  <r>
    <n v="28278"/>
    <x v="0"/>
    <x v="1"/>
    <x v="14"/>
    <n v="2"/>
    <x v="4"/>
    <s v="Management"/>
    <s v="Yes"/>
    <x v="2"/>
    <x v="2"/>
    <x v="2"/>
    <n v="71"/>
    <x v="1"/>
    <x v="0"/>
    <n v="0"/>
    <x v="3"/>
  </r>
  <r>
    <n v="24416"/>
    <x v="0"/>
    <x v="1"/>
    <x v="8"/>
    <n v="4"/>
    <x v="2"/>
    <s v="Professional"/>
    <s v="Yes"/>
    <x v="2"/>
    <x v="3"/>
    <x v="2"/>
    <n v="45"/>
    <x v="0"/>
    <x v="0"/>
    <n v="0"/>
    <x v="2"/>
  </r>
  <r>
    <n v="28066"/>
    <x v="0"/>
    <x v="1"/>
    <x v="2"/>
    <n v="2"/>
    <x v="4"/>
    <s v="Professional"/>
    <s v="Yes"/>
    <x v="0"/>
    <x v="0"/>
    <x v="2"/>
    <n v="37"/>
    <x v="0"/>
    <x v="1"/>
    <n v="1"/>
    <x v="1"/>
  </r>
  <r>
    <n v="11275"/>
    <x v="0"/>
    <x v="0"/>
    <x v="2"/>
    <n v="4"/>
    <x v="4"/>
    <s v="Management"/>
    <s v="Yes"/>
    <x v="2"/>
    <x v="0"/>
    <x v="2"/>
    <n v="72"/>
    <x v="1"/>
    <x v="1"/>
    <n v="1"/>
    <x v="1"/>
  </r>
  <r>
    <n v="14872"/>
    <x v="0"/>
    <x v="1"/>
    <x v="1"/>
    <n v="0"/>
    <x v="4"/>
    <s v="Skilled Manual"/>
    <s v="Yes"/>
    <x v="0"/>
    <x v="0"/>
    <x v="2"/>
    <n v="32"/>
    <x v="0"/>
    <x v="0"/>
    <n v="0"/>
    <x v="0"/>
  </r>
  <r>
    <n v="16151"/>
    <x v="0"/>
    <x v="0"/>
    <x v="10"/>
    <n v="1"/>
    <x v="0"/>
    <s v="Professional"/>
    <s v="Yes"/>
    <x v="1"/>
    <x v="1"/>
    <x v="2"/>
    <n v="48"/>
    <x v="0"/>
    <x v="1"/>
    <n v="1"/>
    <x v="3"/>
  </r>
  <r>
    <n v="19731"/>
    <x v="0"/>
    <x v="1"/>
    <x v="2"/>
    <n v="4"/>
    <x v="4"/>
    <s v="Management"/>
    <s v="Yes"/>
    <x v="2"/>
    <x v="2"/>
    <x v="2"/>
    <n v="68"/>
    <x v="1"/>
    <x v="0"/>
    <n v="0"/>
    <x v="1"/>
  </r>
  <r>
    <n v="23801"/>
    <x v="0"/>
    <x v="0"/>
    <x v="6"/>
    <n v="2"/>
    <x v="3"/>
    <s v="Clerical"/>
    <s v="Yes"/>
    <x v="2"/>
    <x v="0"/>
    <x v="2"/>
    <n v="49"/>
    <x v="0"/>
    <x v="0"/>
    <n v="0"/>
    <x v="0"/>
  </r>
  <r>
    <n v="11807"/>
    <x v="0"/>
    <x v="1"/>
    <x v="3"/>
    <n v="3"/>
    <x v="4"/>
    <s v="Professional"/>
    <s v="Yes"/>
    <x v="0"/>
    <x v="1"/>
    <x v="2"/>
    <n v="34"/>
    <x v="0"/>
    <x v="0"/>
    <n v="0"/>
    <x v="1"/>
  </r>
  <r>
    <n v="11622"/>
    <x v="0"/>
    <x v="1"/>
    <x v="14"/>
    <n v="0"/>
    <x v="4"/>
    <s v="Skilled Manual"/>
    <s v="Yes"/>
    <x v="0"/>
    <x v="0"/>
    <x v="2"/>
    <n v="32"/>
    <x v="0"/>
    <x v="0"/>
    <n v="0"/>
    <x v="3"/>
  </r>
  <r>
    <n v="26597"/>
    <x v="1"/>
    <x v="0"/>
    <x v="10"/>
    <n v="4"/>
    <x v="0"/>
    <s v="Skilled Manual"/>
    <s v="No"/>
    <x v="2"/>
    <x v="0"/>
    <x v="2"/>
    <n v="42"/>
    <x v="0"/>
    <x v="0"/>
    <n v="0"/>
    <x v="3"/>
  </r>
  <r>
    <n v="27074"/>
    <x v="0"/>
    <x v="0"/>
    <x v="3"/>
    <n v="1"/>
    <x v="4"/>
    <s v="Skilled Manual"/>
    <s v="Yes"/>
    <x v="0"/>
    <x v="0"/>
    <x v="2"/>
    <n v="35"/>
    <x v="0"/>
    <x v="1"/>
    <n v="1"/>
    <x v="1"/>
  </r>
  <r>
    <n v="19228"/>
    <x v="0"/>
    <x v="0"/>
    <x v="0"/>
    <n v="2"/>
    <x v="1"/>
    <s v="Clerical"/>
    <s v="Yes"/>
    <x v="1"/>
    <x v="0"/>
    <x v="2"/>
    <n v="48"/>
    <x v="0"/>
    <x v="0"/>
    <n v="0"/>
    <x v="0"/>
  </r>
  <r>
    <n v="13415"/>
    <x v="1"/>
    <x v="1"/>
    <x v="11"/>
    <n v="1"/>
    <x v="4"/>
    <s v="Management"/>
    <s v="Yes"/>
    <x v="4"/>
    <x v="1"/>
    <x v="2"/>
    <n v="73"/>
    <x v="1"/>
    <x v="1"/>
    <n v="1"/>
    <x v="2"/>
  </r>
  <r>
    <n v="17000"/>
    <x v="1"/>
    <x v="0"/>
    <x v="3"/>
    <n v="4"/>
    <x v="0"/>
    <s v="Skilled Manual"/>
    <s v="Yes"/>
    <x v="2"/>
    <x v="1"/>
    <x v="2"/>
    <n v="43"/>
    <x v="0"/>
    <x v="1"/>
    <n v="1"/>
    <x v="1"/>
  </r>
  <r>
    <n v="14569"/>
    <x v="0"/>
    <x v="1"/>
    <x v="10"/>
    <n v="1"/>
    <x v="4"/>
    <s v="Professional"/>
    <s v="Yes"/>
    <x v="0"/>
    <x v="0"/>
    <x v="2"/>
    <n v="35"/>
    <x v="0"/>
    <x v="0"/>
    <n v="0"/>
    <x v="3"/>
  </r>
  <r>
    <n v="13873"/>
    <x v="0"/>
    <x v="1"/>
    <x v="3"/>
    <n v="3"/>
    <x v="4"/>
    <s v="Professional"/>
    <s v="Yes"/>
    <x v="0"/>
    <x v="0"/>
    <x v="2"/>
    <n v="35"/>
    <x v="0"/>
    <x v="1"/>
    <n v="1"/>
    <x v="1"/>
  </r>
  <r>
    <n v="20401"/>
    <x v="0"/>
    <x v="0"/>
    <x v="14"/>
    <n v="4"/>
    <x v="0"/>
    <s v="Management"/>
    <s v="Yes"/>
    <x v="2"/>
    <x v="3"/>
    <x v="2"/>
    <n v="64"/>
    <x v="1"/>
    <x v="1"/>
    <n v="1"/>
    <x v="3"/>
  </r>
  <r>
    <n v="21583"/>
    <x v="0"/>
    <x v="0"/>
    <x v="14"/>
    <n v="1"/>
    <x v="0"/>
    <s v="Skilled Manual"/>
    <s v="Yes"/>
    <x v="0"/>
    <x v="0"/>
    <x v="2"/>
    <n v="34"/>
    <x v="0"/>
    <x v="1"/>
    <n v="1"/>
    <x v="3"/>
  </r>
  <r>
    <n v="12029"/>
    <x v="0"/>
    <x v="1"/>
    <x v="1"/>
    <n v="0"/>
    <x v="3"/>
    <s v="Clerical"/>
    <s v="No"/>
    <x v="2"/>
    <x v="0"/>
    <x v="2"/>
    <n v="28"/>
    <x v="2"/>
    <x v="0"/>
    <n v="0"/>
    <x v="0"/>
  </r>
  <r>
    <n v="18066"/>
    <x v="1"/>
    <x v="1"/>
    <x v="3"/>
    <n v="5"/>
    <x v="0"/>
    <s v="Management"/>
    <s v="Yes"/>
    <x v="4"/>
    <x v="4"/>
    <x v="2"/>
    <n v="60"/>
    <x v="1"/>
    <x v="1"/>
    <n v="1"/>
    <x v="1"/>
  </r>
  <r>
    <n v="28192"/>
    <x v="0"/>
    <x v="0"/>
    <x v="3"/>
    <n v="5"/>
    <x v="4"/>
    <s v="Professional"/>
    <s v="Yes"/>
    <x v="4"/>
    <x v="4"/>
    <x v="2"/>
    <n v="46"/>
    <x v="0"/>
    <x v="0"/>
    <n v="0"/>
    <x v="1"/>
  </r>
  <r>
    <n v="16122"/>
    <x v="0"/>
    <x v="1"/>
    <x v="0"/>
    <n v="4"/>
    <x v="2"/>
    <s v="Skilled Manual"/>
    <s v="Yes"/>
    <x v="2"/>
    <x v="0"/>
    <x v="2"/>
    <n v="44"/>
    <x v="0"/>
    <x v="1"/>
    <n v="1"/>
    <x v="0"/>
  </r>
  <r>
    <n v="18607"/>
    <x v="1"/>
    <x v="0"/>
    <x v="10"/>
    <n v="4"/>
    <x v="0"/>
    <s v="Skilled Manual"/>
    <s v="Yes"/>
    <x v="2"/>
    <x v="1"/>
    <x v="2"/>
    <n v="42"/>
    <x v="0"/>
    <x v="1"/>
    <n v="1"/>
    <x v="3"/>
  </r>
  <r>
    <n v="28858"/>
    <x v="1"/>
    <x v="1"/>
    <x v="2"/>
    <n v="3"/>
    <x v="0"/>
    <s v="Skilled Manual"/>
    <s v="Yes"/>
    <x v="0"/>
    <x v="1"/>
    <x v="2"/>
    <n v="40"/>
    <x v="0"/>
    <x v="0"/>
    <n v="0"/>
    <x v="1"/>
  </r>
  <r>
    <n v="14432"/>
    <x v="1"/>
    <x v="1"/>
    <x v="8"/>
    <n v="4"/>
    <x v="4"/>
    <s v="Management"/>
    <s v="Yes"/>
    <x v="1"/>
    <x v="2"/>
    <x v="2"/>
    <n v="73"/>
    <x v="1"/>
    <x v="0"/>
    <n v="0"/>
    <x v="2"/>
  </r>
  <r>
    <n v="26305"/>
    <x v="1"/>
    <x v="0"/>
    <x v="10"/>
    <n v="2"/>
    <x v="0"/>
    <s v="Skilled Manual"/>
    <s v="No"/>
    <x v="0"/>
    <x v="0"/>
    <x v="2"/>
    <n v="36"/>
    <x v="0"/>
    <x v="1"/>
    <n v="1"/>
    <x v="3"/>
  </r>
  <r>
    <n v="22050"/>
    <x v="1"/>
    <x v="1"/>
    <x v="8"/>
    <n v="4"/>
    <x v="0"/>
    <s v="Management"/>
    <s v="Yes"/>
    <x v="1"/>
    <x v="3"/>
    <x v="2"/>
    <n v="38"/>
    <x v="0"/>
    <x v="1"/>
    <n v="1"/>
    <x v="2"/>
  </r>
  <r>
    <n v="25394"/>
    <x v="0"/>
    <x v="1"/>
    <x v="10"/>
    <n v="1"/>
    <x v="4"/>
    <s v="Professional"/>
    <s v="Yes"/>
    <x v="0"/>
    <x v="1"/>
    <x v="2"/>
    <n v="34"/>
    <x v="0"/>
    <x v="1"/>
    <n v="1"/>
    <x v="3"/>
  </r>
  <r>
    <n v="19747"/>
    <x v="0"/>
    <x v="1"/>
    <x v="14"/>
    <n v="4"/>
    <x v="0"/>
    <s v="Management"/>
    <s v="Yes"/>
    <x v="2"/>
    <x v="4"/>
    <x v="2"/>
    <n v="63"/>
    <x v="1"/>
    <x v="0"/>
    <n v="0"/>
    <x v="3"/>
  </r>
  <r>
    <n v="23195"/>
    <x v="1"/>
    <x v="1"/>
    <x v="14"/>
    <n v="3"/>
    <x v="0"/>
    <s v="Skilled Manual"/>
    <s v="Yes"/>
    <x v="2"/>
    <x v="1"/>
    <x v="2"/>
    <n v="41"/>
    <x v="0"/>
    <x v="1"/>
    <n v="1"/>
    <x v="3"/>
  </r>
  <r>
    <n v="21695"/>
    <x v="0"/>
    <x v="1"/>
    <x v="10"/>
    <n v="0"/>
    <x v="4"/>
    <s v="Skilled Manual"/>
    <s v="Yes"/>
    <x v="0"/>
    <x v="3"/>
    <x v="2"/>
    <n v="39"/>
    <x v="0"/>
    <x v="1"/>
    <n v="1"/>
    <x v="3"/>
  </r>
  <r>
    <n v="13934"/>
    <x v="0"/>
    <x v="1"/>
    <x v="0"/>
    <n v="4"/>
    <x v="2"/>
    <s v="Skilled Manual"/>
    <s v="Yes"/>
    <x v="2"/>
    <x v="1"/>
    <x v="2"/>
    <n v="46"/>
    <x v="0"/>
    <x v="0"/>
    <n v="0"/>
    <x v="0"/>
  </r>
  <r>
    <n v="13337"/>
    <x v="0"/>
    <x v="0"/>
    <x v="2"/>
    <n v="5"/>
    <x v="0"/>
    <s v="Management"/>
    <s v="Yes"/>
    <x v="2"/>
    <x v="2"/>
    <x v="2"/>
    <n v="64"/>
    <x v="1"/>
    <x v="0"/>
    <n v="0"/>
    <x v="1"/>
  </r>
  <r>
    <n v="27190"/>
    <x v="0"/>
    <x v="0"/>
    <x v="0"/>
    <n v="3"/>
    <x v="1"/>
    <s v="Clerical"/>
    <s v="Yes"/>
    <x v="1"/>
    <x v="3"/>
    <x v="2"/>
    <n v="32"/>
    <x v="0"/>
    <x v="0"/>
    <n v="0"/>
    <x v="0"/>
  </r>
  <r>
    <n v="28657"/>
    <x v="1"/>
    <x v="1"/>
    <x v="10"/>
    <n v="2"/>
    <x v="0"/>
    <s v="Skilled Manual"/>
    <s v="Yes"/>
    <x v="0"/>
    <x v="1"/>
    <x v="2"/>
    <n v="36"/>
    <x v="0"/>
    <x v="1"/>
    <n v="1"/>
    <x v="3"/>
  </r>
  <r>
    <n v="21713"/>
    <x v="1"/>
    <x v="1"/>
    <x v="2"/>
    <n v="5"/>
    <x v="4"/>
    <s v="Skilled Manual"/>
    <s v="No"/>
    <x v="0"/>
    <x v="0"/>
    <x v="2"/>
    <n v="47"/>
    <x v="0"/>
    <x v="0"/>
    <n v="0"/>
    <x v="1"/>
  </r>
  <r>
    <n v="21752"/>
    <x v="0"/>
    <x v="1"/>
    <x v="10"/>
    <n v="3"/>
    <x v="4"/>
    <s v="Management"/>
    <s v="Yes"/>
    <x v="2"/>
    <x v="4"/>
    <x v="2"/>
    <n v="64"/>
    <x v="1"/>
    <x v="0"/>
    <n v="0"/>
    <x v="3"/>
  </r>
  <r>
    <n v="27273"/>
    <x v="1"/>
    <x v="1"/>
    <x v="3"/>
    <n v="3"/>
    <x v="4"/>
    <s v="Professional"/>
    <s v="No"/>
    <x v="0"/>
    <x v="0"/>
    <x v="2"/>
    <n v="35"/>
    <x v="0"/>
    <x v="1"/>
    <n v="1"/>
    <x v="1"/>
  </r>
  <r>
    <n v="22719"/>
    <x v="1"/>
    <x v="1"/>
    <x v="15"/>
    <n v="3"/>
    <x v="0"/>
    <s v="Management"/>
    <s v="Yes"/>
    <x v="3"/>
    <x v="1"/>
    <x v="2"/>
    <n v="40"/>
    <x v="0"/>
    <x v="1"/>
    <n v="1"/>
    <x v="2"/>
  </r>
  <r>
    <n v="22042"/>
    <x v="0"/>
    <x v="0"/>
    <x v="3"/>
    <n v="0"/>
    <x v="1"/>
    <s v="Skilled Manual"/>
    <s v="Yes"/>
    <x v="2"/>
    <x v="2"/>
    <x v="2"/>
    <n v="34"/>
    <x v="0"/>
    <x v="1"/>
    <n v="1"/>
    <x v="1"/>
  </r>
  <r>
    <n v="21451"/>
    <x v="0"/>
    <x v="0"/>
    <x v="0"/>
    <n v="4"/>
    <x v="2"/>
    <s v="Professional"/>
    <s v="Yes"/>
    <x v="2"/>
    <x v="4"/>
    <x v="2"/>
    <n v="61"/>
    <x v="1"/>
    <x v="0"/>
    <n v="0"/>
    <x v="0"/>
  </r>
  <r>
    <n v="20754"/>
    <x v="0"/>
    <x v="1"/>
    <x v="1"/>
    <n v="2"/>
    <x v="2"/>
    <s v="Skilled Manual"/>
    <s v="Yes"/>
    <x v="2"/>
    <x v="3"/>
    <x v="2"/>
    <n v="51"/>
    <x v="0"/>
    <x v="0"/>
    <n v="0"/>
    <x v="0"/>
  </r>
  <r>
    <n v="12153"/>
    <x v="1"/>
    <x v="0"/>
    <x v="3"/>
    <n v="3"/>
    <x v="1"/>
    <s v="Professional"/>
    <s v="Yes"/>
    <x v="1"/>
    <x v="2"/>
    <x v="2"/>
    <n v="49"/>
    <x v="0"/>
    <x v="1"/>
    <n v="1"/>
    <x v="1"/>
  </r>
  <r>
    <n v="16895"/>
    <x v="0"/>
    <x v="0"/>
    <x v="0"/>
    <n v="3"/>
    <x v="1"/>
    <s v="Professional"/>
    <s v="No"/>
    <x v="2"/>
    <x v="3"/>
    <x v="2"/>
    <n v="54"/>
    <x v="0"/>
    <x v="1"/>
    <n v="1"/>
    <x v="0"/>
  </r>
  <r>
    <n v="26728"/>
    <x v="1"/>
    <x v="1"/>
    <x v="3"/>
    <n v="3"/>
    <x v="4"/>
    <s v="Management"/>
    <s v="No"/>
    <x v="2"/>
    <x v="3"/>
    <x v="2"/>
    <n v="53"/>
    <x v="0"/>
    <x v="1"/>
    <n v="1"/>
    <x v="1"/>
  </r>
  <r>
    <n v="11090"/>
    <x v="1"/>
    <x v="1"/>
    <x v="8"/>
    <n v="2"/>
    <x v="1"/>
    <s v="Professional"/>
    <s v="Yes"/>
    <x v="1"/>
    <x v="1"/>
    <x v="2"/>
    <n v="48"/>
    <x v="0"/>
    <x v="1"/>
    <n v="1"/>
    <x v="2"/>
  </r>
  <r>
    <n v="15862"/>
    <x v="1"/>
    <x v="0"/>
    <x v="14"/>
    <n v="0"/>
    <x v="4"/>
    <s v="Skilled Manual"/>
    <s v="Yes"/>
    <x v="0"/>
    <x v="3"/>
    <x v="2"/>
    <n v="33"/>
    <x v="0"/>
    <x v="1"/>
    <n v="1"/>
    <x v="3"/>
  </r>
  <r>
    <n v="26495"/>
    <x v="1"/>
    <x v="0"/>
    <x v="0"/>
    <n v="2"/>
    <x v="2"/>
    <s v="Professional"/>
    <s v="Yes"/>
    <x v="2"/>
    <x v="4"/>
    <x v="2"/>
    <n v="57"/>
    <x v="1"/>
    <x v="0"/>
    <n v="0"/>
    <x v="0"/>
  </r>
  <r>
    <n v="11823"/>
    <x v="0"/>
    <x v="0"/>
    <x v="3"/>
    <n v="0"/>
    <x v="4"/>
    <s v="Professional"/>
    <s v="Yes"/>
    <x v="0"/>
    <x v="1"/>
    <x v="2"/>
    <n v="39"/>
    <x v="0"/>
    <x v="0"/>
    <n v="0"/>
    <x v="1"/>
  </r>
  <r>
    <n v="23449"/>
    <x v="0"/>
    <x v="1"/>
    <x v="10"/>
    <n v="2"/>
    <x v="2"/>
    <s v="Professional"/>
    <s v="Yes"/>
    <x v="2"/>
    <x v="2"/>
    <x v="2"/>
    <n v="48"/>
    <x v="0"/>
    <x v="0"/>
    <n v="0"/>
    <x v="3"/>
  </r>
  <r>
    <n v="23459"/>
    <x v="0"/>
    <x v="1"/>
    <x v="10"/>
    <n v="2"/>
    <x v="2"/>
    <s v="Professional"/>
    <s v="Yes"/>
    <x v="2"/>
    <x v="2"/>
    <x v="2"/>
    <n v="50"/>
    <x v="0"/>
    <x v="0"/>
    <n v="0"/>
    <x v="3"/>
  </r>
  <r>
    <n v="19543"/>
    <x v="0"/>
    <x v="1"/>
    <x v="3"/>
    <n v="5"/>
    <x v="4"/>
    <s v="Professional"/>
    <s v="No"/>
    <x v="4"/>
    <x v="4"/>
    <x v="2"/>
    <n v="47"/>
    <x v="0"/>
    <x v="0"/>
    <n v="0"/>
    <x v="1"/>
  </r>
  <r>
    <n v="14914"/>
    <x v="0"/>
    <x v="0"/>
    <x v="0"/>
    <n v="1"/>
    <x v="1"/>
    <s v="Clerical"/>
    <s v="Yes"/>
    <x v="1"/>
    <x v="3"/>
    <x v="2"/>
    <n v="49"/>
    <x v="0"/>
    <x v="1"/>
    <n v="1"/>
    <x v="0"/>
  </r>
  <r>
    <n v="12033"/>
    <x v="1"/>
    <x v="0"/>
    <x v="0"/>
    <n v="0"/>
    <x v="2"/>
    <s v="Skilled Manual"/>
    <s v="No"/>
    <x v="2"/>
    <x v="0"/>
    <x v="2"/>
    <n v="27"/>
    <x v="2"/>
    <x v="1"/>
    <n v="1"/>
    <x v="0"/>
  </r>
  <r>
    <n v="11941"/>
    <x v="1"/>
    <x v="1"/>
    <x v="10"/>
    <n v="0"/>
    <x v="1"/>
    <s v="Skilled Manual"/>
    <s v="Yes"/>
    <x v="0"/>
    <x v="2"/>
    <x v="2"/>
    <n v="29"/>
    <x v="2"/>
    <x v="0"/>
    <n v="0"/>
    <x v="3"/>
  </r>
  <r>
    <n v="14389"/>
    <x v="0"/>
    <x v="1"/>
    <x v="10"/>
    <n v="2"/>
    <x v="0"/>
    <s v="Management"/>
    <s v="Yes"/>
    <x v="0"/>
    <x v="1"/>
    <x v="2"/>
    <n v="59"/>
    <x v="1"/>
    <x v="0"/>
    <n v="0"/>
    <x v="3"/>
  </r>
  <r>
    <n v="18050"/>
    <x v="0"/>
    <x v="0"/>
    <x v="10"/>
    <n v="1"/>
    <x v="1"/>
    <s v="Skilled Manual"/>
    <s v="Yes"/>
    <x v="1"/>
    <x v="0"/>
    <x v="2"/>
    <n v="45"/>
    <x v="0"/>
    <x v="1"/>
    <n v="1"/>
    <x v="3"/>
  </r>
  <r>
    <n v="19856"/>
    <x v="0"/>
    <x v="0"/>
    <x v="10"/>
    <n v="4"/>
    <x v="0"/>
    <s v="Management"/>
    <s v="Yes"/>
    <x v="2"/>
    <x v="1"/>
    <x v="2"/>
    <n v="60"/>
    <x v="1"/>
    <x v="0"/>
    <n v="0"/>
    <x v="3"/>
  </r>
  <r>
    <n v="11663"/>
    <x v="0"/>
    <x v="1"/>
    <x v="3"/>
    <n v="4"/>
    <x v="4"/>
    <s v="Professional"/>
    <s v="Yes"/>
    <x v="0"/>
    <x v="0"/>
    <x v="2"/>
    <n v="36"/>
    <x v="0"/>
    <x v="1"/>
    <n v="1"/>
    <x v="1"/>
  </r>
  <r>
    <n v="27740"/>
    <x v="0"/>
    <x v="0"/>
    <x v="0"/>
    <n v="0"/>
    <x v="2"/>
    <s v="Skilled Manual"/>
    <s v="Yes"/>
    <x v="2"/>
    <x v="2"/>
    <x v="2"/>
    <n v="27"/>
    <x v="2"/>
    <x v="0"/>
    <n v="0"/>
    <x v="0"/>
  </r>
  <r>
    <n v="23455"/>
    <x v="1"/>
    <x v="1"/>
    <x v="2"/>
    <n v="2"/>
    <x v="3"/>
    <s v="Skilled Manual"/>
    <s v="No"/>
    <x v="2"/>
    <x v="3"/>
    <x v="2"/>
    <n v="50"/>
    <x v="0"/>
    <x v="0"/>
    <n v="0"/>
    <x v="1"/>
  </r>
  <r>
    <n v="15292"/>
    <x v="1"/>
    <x v="0"/>
    <x v="10"/>
    <n v="1"/>
    <x v="4"/>
    <s v="Skilled Manual"/>
    <s v="Yes"/>
    <x v="0"/>
    <x v="3"/>
    <x v="2"/>
    <n v="35"/>
    <x v="0"/>
    <x v="0"/>
    <n v="0"/>
    <x v="3"/>
  </r>
  <r>
    <n v="21587"/>
    <x v="0"/>
    <x v="0"/>
    <x v="10"/>
    <n v="1"/>
    <x v="4"/>
    <s v="Skilled Manual"/>
    <s v="Yes"/>
    <x v="0"/>
    <x v="1"/>
    <x v="2"/>
    <n v="34"/>
    <x v="0"/>
    <x v="1"/>
    <n v="1"/>
    <x v="3"/>
  </r>
  <r>
    <n v="23513"/>
    <x v="0"/>
    <x v="0"/>
    <x v="0"/>
    <n v="3"/>
    <x v="1"/>
    <s v="Professional"/>
    <s v="Yes"/>
    <x v="2"/>
    <x v="2"/>
    <x v="2"/>
    <n v="54"/>
    <x v="0"/>
    <x v="0"/>
    <n v="0"/>
    <x v="0"/>
  </r>
  <r>
    <n v="24322"/>
    <x v="0"/>
    <x v="0"/>
    <x v="10"/>
    <n v="4"/>
    <x v="0"/>
    <s v="Skilled Manual"/>
    <s v="No"/>
    <x v="2"/>
    <x v="0"/>
    <x v="2"/>
    <n v="42"/>
    <x v="0"/>
    <x v="0"/>
    <n v="0"/>
    <x v="3"/>
  </r>
  <r>
    <n v="26298"/>
    <x v="0"/>
    <x v="0"/>
    <x v="14"/>
    <n v="1"/>
    <x v="0"/>
    <s v="Skilled Manual"/>
    <s v="Yes"/>
    <x v="0"/>
    <x v="1"/>
    <x v="2"/>
    <n v="34"/>
    <x v="0"/>
    <x v="1"/>
    <n v="1"/>
    <x v="3"/>
  </r>
  <r>
    <n v="25419"/>
    <x v="1"/>
    <x v="1"/>
    <x v="14"/>
    <n v="2"/>
    <x v="0"/>
    <s v="Skilled Manual"/>
    <s v="No"/>
    <x v="1"/>
    <x v="0"/>
    <x v="2"/>
    <n v="38"/>
    <x v="0"/>
    <x v="1"/>
    <n v="1"/>
    <x v="3"/>
  </r>
  <r>
    <n v="13343"/>
    <x v="0"/>
    <x v="0"/>
    <x v="8"/>
    <n v="5"/>
    <x v="0"/>
    <s v="Management"/>
    <s v="Yes"/>
    <x v="2"/>
    <x v="3"/>
    <x v="2"/>
    <n v="63"/>
    <x v="1"/>
    <x v="1"/>
    <n v="1"/>
    <x v="2"/>
  </r>
  <r>
    <n v="11303"/>
    <x v="1"/>
    <x v="0"/>
    <x v="8"/>
    <n v="4"/>
    <x v="2"/>
    <s v="Professional"/>
    <s v="No"/>
    <x v="4"/>
    <x v="3"/>
    <x v="2"/>
    <n v="45"/>
    <x v="0"/>
    <x v="1"/>
    <n v="1"/>
    <x v="2"/>
  </r>
  <r>
    <n v="21693"/>
    <x v="1"/>
    <x v="0"/>
    <x v="10"/>
    <n v="0"/>
    <x v="4"/>
    <s v="Skilled Manual"/>
    <s v="No"/>
    <x v="0"/>
    <x v="0"/>
    <x v="2"/>
    <n v="40"/>
    <x v="0"/>
    <x v="0"/>
    <n v="0"/>
    <x v="3"/>
  </r>
  <r>
    <n v="28056"/>
    <x v="0"/>
    <x v="1"/>
    <x v="3"/>
    <n v="2"/>
    <x v="3"/>
    <s v="Skilled Manual"/>
    <s v="Yes"/>
    <x v="2"/>
    <x v="4"/>
    <x v="2"/>
    <n v="53"/>
    <x v="0"/>
    <x v="0"/>
    <n v="0"/>
    <x v="1"/>
  </r>
  <r>
    <n v="11788"/>
    <x v="1"/>
    <x v="0"/>
    <x v="3"/>
    <n v="1"/>
    <x v="4"/>
    <s v="Professional"/>
    <s v="Yes"/>
    <x v="0"/>
    <x v="1"/>
    <x v="2"/>
    <n v="34"/>
    <x v="0"/>
    <x v="0"/>
    <n v="0"/>
    <x v="1"/>
  </r>
  <r>
    <n v="22296"/>
    <x v="0"/>
    <x v="1"/>
    <x v="3"/>
    <n v="0"/>
    <x v="0"/>
    <s v="Professional"/>
    <s v="No"/>
    <x v="1"/>
    <x v="0"/>
    <x v="2"/>
    <n v="38"/>
    <x v="0"/>
    <x v="0"/>
    <n v="0"/>
    <x v="1"/>
  </r>
  <r>
    <n v="15319"/>
    <x v="0"/>
    <x v="0"/>
    <x v="3"/>
    <n v="4"/>
    <x v="0"/>
    <s v="Management"/>
    <s v="No"/>
    <x v="1"/>
    <x v="3"/>
    <x v="2"/>
    <n v="59"/>
    <x v="1"/>
    <x v="0"/>
    <n v="0"/>
    <x v="1"/>
  </r>
  <r>
    <n v="17654"/>
    <x v="1"/>
    <x v="0"/>
    <x v="0"/>
    <n v="3"/>
    <x v="1"/>
    <s v="Clerical"/>
    <s v="Yes"/>
    <x v="1"/>
    <x v="3"/>
    <x v="2"/>
    <n v="30"/>
    <x v="2"/>
    <x v="1"/>
    <n v="1"/>
    <x v="0"/>
  </r>
  <r>
    <n v="14662"/>
    <x v="0"/>
    <x v="1"/>
    <x v="10"/>
    <n v="1"/>
    <x v="0"/>
    <s v="Professional"/>
    <s v="Yes"/>
    <x v="1"/>
    <x v="0"/>
    <x v="2"/>
    <n v="48"/>
    <x v="0"/>
    <x v="1"/>
    <n v="1"/>
    <x v="3"/>
  </r>
  <r>
    <n v="17541"/>
    <x v="0"/>
    <x v="0"/>
    <x v="0"/>
    <n v="4"/>
    <x v="2"/>
    <s v="Skilled Manual"/>
    <s v="Yes"/>
    <x v="2"/>
    <x v="1"/>
    <x v="2"/>
    <n v="43"/>
    <x v="0"/>
    <x v="0"/>
    <n v="0"/>
    <x v="0"/>
  </r>
  <r>
    <n v="13886"/>
    <x v="0"/>
    <x v="0"/>
    <x v="3"/>
    <n v="4"/>
    <x v="4"/>
    <s v="Professional"/>
    <s v="Yes"/>
    <x v="0"/>
    <x v="1"/>
    <x v="2"/>
    <n v="35"/>
    <x v="0"/>
    <x v="1"/>
    <n v="1"/>
    <x v="1"/>
  </r>
  <r>
    <n v="13073"/>
    <x v="0"/>
    <x v="0"/>
    <x v="10"/>
    <n v="0"/>
    <x v="1"/>
    <s v="Professional"/>
    <s v="Yes"/>
    <x v="2"/>
    <x v="2"/>
    <x v="2"/>
    <n v="30"/>
    <x v="2"/>
    <x v="0"/>
    <n v="0"/>
    <x v="3"/>
  </r>
  <r>
    <n v="21940"/>
    <x v="0"/>
    <x v="1"/>
    <x v="8"/>
    <n v="5"/>
    <x v="4"/>
    <s v="Professional"/>
    <s v="Yes"/>
    <x v="0"/>
    <x v="0"/>
    <x v="2"/>
    <n v="47"/>
    <x v="0"/>
    <x v="1"/>
    <n v="1"/>
    <x v="2"/>
  </r>
  <r>
    <n v="20196"/>
    <x v="0"/>
    <x v="1"/>
    <x v="10"/>
    <n v="1"/>
    <x v="1"/>
    <s v="Skilled Manual"/>
    <s v="Yes"/>
    <x v="1"/>
    <x v="1"/>
    <x v="2"/>
    <n v="45"/>
    <x v="0"/>
    <x v="1"/>
    <n v="1"/>
    <x v="3"/>
  </r>
  <r>
    <n v="23491"/>
    <x v="1"/>
    <x v="1"/>
    <x v="11"/>
    <n v="0"/>
    <x v="1"/>
    <s v="Professional"/>
    <s v="No"/>
    <x v="3"/>
    <x v="3"/>
    <x v="2"/>
    <n v="45"/>
    <x v="0"/>
    <x v="0"/>
    <n v="0"/>
    <x v="2"/>
  </r>
  <r>
    <n v="16651"/>
    <x v="0"/>
    <x v="0"/>
    <x v="7"/>
    <n v="2"/>
    <x v="0"/>
    <s v="Management"/>
    <s v="Yes"/>
    <x v="4"/>
    <x v="2"/>
    <x v="2"/>
    <n v="62"/>
    <x v="1"/>
    <x v="0"/>
    <n v="0"/>
    <x v="2"/>
  </r>
  <r>
    <n v="16813"/>
    <x v="0"/>
    <x v="1"/>
    <x v="10"/>
    <n v="2"/>
    <x v="1"/>
    <s v="Professional"/>
    <s v="Yes"/>
    <x v="2"/>
    <x v="4"/>
    <x v="2"/>
    <n v="55"/>
    <x v="0"/>
    <x v="0"/>
    <n v="0"/>
    <x v="3"/>
  </r>
  <r>
    <n v="16007"/>
    <x v="0"/>
    <x v="0"/>
    <x v="8"/>
    <n v="5"/>
    <x v="0"/>
    <s v="Management"/>
    <s v="Yes"/>
    <x v="2"/>
    <x v="3"/>
    <x v="2"/>
    <n v="66"/>
    <x v="1"/>
    <x v="1"/>
    <n v="1"/>
    <x v="2"/>
  </r>
  <r>
    <n v="27434"/>
    <x v="1"/>
    <x v="1"/>
    <x v="3"/>
    <n v="4"/>
    <x v="1"/>
    <s v="Professional"/>
    <s v="Yes"/>
    <x v="1"/>
    <x v="4"/>
    <x v="2"/>
    <n v="56"/>
    <x v="1"/>
    <x v="0"/>
    <n v="0"/>
    <x v="1"/>
  </r>
  <r>
    <n v="27756"/>
    <x v="1"/>
    <x v="0"/>
    <x v="14"/>
    <n v="3"/>
    <x v="0"/>
    <s v="Skilled Manual"/>
    <s v="No"/>
    <x v="1"/>
    <x v="0"/>
    <x v="2"/>
    <n v="40"/>
    <x v="0"/>
    <x v="0"/>
    <n v="0"/>
    <x v="3"/>
  </r>
  <r>
    <n v="23818"/>
    <x v="0"/>
    <x v="0"/>
    <x v="14"/>
    <n v="0"/>
    <x v="4"/>
    <s v="Skilled Manual"/>
    <s v="Yes"/>
    <x v="0"/>
    <x v="3"/>
    <x v="2"/>
    <n v="33"/>
    <x v="0"/>
    <x v="1"/>
    <n v="1"/>
    <x v="3"/>
  </r>
  <r>
    <n v="19012"/>
    <x v="0"/>
    <x v="1"/>
    <x v="2"/>
    <n v="3"/>
    <x v="0"/>
    <s v="Management"/>
    <s v="Yes"/>
    <x v="1"/>
    <x v="3"/>
    <x v="2"/>
    <n v="56"/>
    <x v="1"/>
    <x v="0"/>
    <n v="0"/>
    <x v="1"/>
  </r>
  <r>
    <n v="18329"/>
    <x v="1"/>
    <x v="1"/>
    <x v="1"/>
    <n v="0"/>
    <x v="3"/>
    <s v="Clerical"/>
    <s v="No"/>
    <x v="2"/>
    <x v="2"/>
    <x v="2"/>
    <n v="27"/>
    <x v="2"/>
    <x v="0"/>
    <n v="0"/>
    <x v="0"/>
  </r>
  <r>
    <n v="29037"/>
    <x v="0"/>
    <x v="1"/>
    <x v="10"/>
    <n v="0"/>
    <x v="4"/>
    <s v="Professional"/>
    <s v="No"/>
    <x v="0"/>
    <x v="0"/>
    <x v="2"/>
    <n v="39"/>
    <x v="0"/>
    <x v="0"/>
    <n v="0"/>
    <x v="3"/>
  </r>
  <r>
    <n v="26576"/>
    <x v="0"/>
    <x v="0"/>
    <x v="10"/>
    <n v="0"/>
    <x v="1"/>
    <s v="Skilled Manual"/>
    <s v="Yes"/>
    <x v="2"/>
    <x v="2"/>
    <x v="2"/>
    <n v="31"/>
    <x v="0"/>
    <x v="0"/>
    <n v="0"/>
    <x v="3"/>
  </r>
  <r>
    <n v="12192"/>
    <x v="1"/>
    <x v="0"/>
    <x v="10"/>
    <n v="2"/>
    <x v="3"/>
    <s v="Skilled Manual"/>
    <s v="No"/>
    <x v="2"/>
    <x v="3"/>
    <x v="2"/>
    <n v="51"/>
    <x v="0"/>
    <x v="0"/>
    <n v="0"/>
    <x v="3"/>
  </r>
  <r>
    <n v="14887"/>
    <x v="0"/>
    <x v="0"/>
    <x v="1"/>
    <n v="1"/>
    <x v="2"/>
    <s v="Clerical"/>
    <s v="Yes"/>
    <x v="1"/>
    <x v="2"/>
    <x v="2"/>
    <n v="52"/>
    <x v="0"/>
    <x v="0"/>
    <n v="0"/>
    <x v="0"/>
  </r>
  <r>
    <n v="11734"/>
    <x v="0"/>
    <x v="1"/>
    <x v="10"/>
    <n v="1"/>
    <x v="1"/>
    <s v="Skilled Manual"/>
    <s v="No"/>
    <x v="1"/>
    <x v="0"/>
    <x v="2"/>
    <n v="47"/>
    <x v="0"/>
    <x v="0"/>
    <n v="0"/>
    <x v="3"/>
  </r>
  <r>
    <n v="17462"/>
    <x v="0"/>
    <x v="1"/>
    <x v="3"/>
    <n v="3"/>
    <x v="4"/>
    <s v="Management"/>
    <s v="Yes"/>
    <x v="2"/>
    <x v="2"/>
    <x v="2"/>
    <n v="53"/>
    <x v="0"/>
    <x v="1"/>
    <n v="1"/>
    <x v="1"/>
  </r>
  <r>
    <n v="20659"/>
    <x v="0"/>
    <x v="1"/>
    <x v="3"/>
    <n v="3"/>
    <x v="4"/>
    <s v="Professional"/>
    <s v="Yes"/>
    <x v="0"/>
    <x v="0"/>
    <x v="2"/>
    <n v="35"/>
    <x v="0"/>
    <x v="1"/>
    <n v="1"/>
    <x v="1"/>
  </r>
  <r>
    <n v="28004"/>
    <x v="0"/>
    <x v="0"/>
    <x v="10"/>
    <n v="3"/>
    <x v="0"/>
    <s v="Management"/>
    <s v="Yes"/>
    <x v="2"/>
    <x v="4"/>
    <x v="2"/>
    <n v="66"/>
    <x v="1"/>
    <x v="0"/>
    <n v="0"/>
    <x v="3"/>
  </r>
  <r>
    <n v="19741"/>
    <x v="1"/>
    <x v="0"/>
    <x v="2"/>
    <n v="4"/>
    <x v="4"/>
    <s v="Management"/>
    <s v="Yes"/>
    <x v="2"/>
    <x v="2"/>
    <x v="2"/>
    <n v="65"/>
    <x v="1"/>
    <x v="0"/>
    <n v="0"/>
    <x v="1"/>
  </r>
  <r>
    <n v="17450"/>
    <x v="0"/>
    <x v="1"/>
    <x v="2"/>
    <n v="5"/>
    <x v="1"/>
    <s v="Professional"/>
    <s v="Yes"/>
    <x v="4"/>
    <x v="2"/>
    <x v="2"/>
    <n v="45"/>
    <x v="0"/>
    <x v="0"/>
    <n v="0"/>
    <x v="1"/>
  </r>
  <r>
    <n v="17337"/>
    <x v="1"/>
    <x v="1"/>
    <x v="0"/>
    <n v="0"/>
    <x v="2"/>
    <s v="Skilled Manual"/>
    <s v="Yes"/>
    <x v="1"/>
    <x v="2"/>
    <x v="2"/>
    <n v="31"/>
    <x v="0"/>
    <x v="0"/>
    <n v="0"/>
    <x v="0"/>
  </r>
  <r>
    <n v="18594"/>
    <x v="1"/>
    <x v="0"/>
    <x v="2"/>
    <n v="3"/>
    <x v="0"/>
    <s v="Skilled Manual"/>
    <s v="Yes"/>
    <x v="4"/>
    <x v="4"/>
    <x v="2"/>
    <n v="40"/>
    <x v="0"/>
    <x v="1"/>
    <n v="1"/>
    <x v="1"/>
  </r>
  <r>
    <n v="15982"/>
    <x v="0"/>
    <x v="1"/>
    <x v="15"/>
    <n v="5"/>
    <x v="1"/>
    <s v="Professional"/>
    <s v="Yes"/>
    <x v="3"/>
    <x v="1"/>
    <x v="2"/>
    <n v="46"/>
    <x v="0"/>
    <x v="0"/>
    <n v="0"/>
    <x v="2"/>
  </r>
  <r>
    <n v="28625"/>
    <x v="1"/>
    <x v="1"/>
    <x v="0"/>
    <n v="2"/>
    <x v="1"/>
    <s v="Clerical"/>
    <s v="No"/>
    <x v="1"/>
    <x v="3"/>
    <x v="2"/>
    <n v="47"/>
    <x v="0"/>
    <x v="1"/>
    <n v="1"/>
    <x v="0"/>
  </r>
  <r>
    <n v="11269"/>
    <x v="0"/>
    <x v="1"/>
    <x v="12"/>
    <n v="2"/>
    <x v="4"/>
    <s v="Management"/>
    <s v="Yes"/>
    <x v="2"/>
    <x v="0"/>
    <x v="2"/>
    <n v="41"/>
    <x v="0"/>
    <x v="0"/>
    <n v="0"/>
    <x v="2"/>
  </r>
  <r>
    <n v="25148"/>
    <x v="0"/>
    <x v="1"/>
    <x v="10"/>
    <n v="2"/>
    <x v="2"/>
    <s v="Professional"/>
    <s v="No"/>
    <x v="2"/>
    <x v="3"/>
    <x v="2"/>
    <n v="48"/>
    <x v="0"/>
    <x v="1"/>
    <n v="1"/>
    <x v="3"/>
  </r>
  <r>
    <n v="13920"/>
    <x v="1"/>
    <x v="0"/>
    <x v="14"/>
    <n v="4"/>
    <x v="0"/>
    <s v="Skilled Manual"/>
    <s v="Yes"/>
    <x v="2"/>
    <x v="0"/>
    <x v="2"/>
    <n v="42"/>
    <x v="0"/>
    <x v="0"/>
    <n v="0"/>
    <x v="3"/>
  </r>
  <r>
    <n v="23704"/>
    <x v="1"/>
    <x v="1"/>
    <x v="0"/>
    <n v="5"/>
    <x v="2"/>
    <s v="Professional"/>
    <s v="Yes"/>
    <x v="3"/>
    <x v="4"/>
    <x v="2"/>
    <n v="60"/>
    <x v="1"/>
    <x v="1"/>
    <n v="1"/>
    <x v="0"/>
  </r>
  <r>
    <n v="28972"/>
    <x v="1"/>
    <x v="0"/>
    <x v="10"/>
    <n v="3"/>
    <x v="4"/>
    <s v="Management"/>
    <s v="Yes"/>
    <x v="2"/>
    <x v="4"/>
    <x v="2"/>
    <n v="66"/>
    <x v="1"/>
    <x v="0"/>
    <n v="0"/>
    <x v="3"/>
  </r>
  <r>
    <n v="22730"/>
    <x v="0"/>
    <x v="1"/>
    <x v="3"/>
    <n v="5"/>
    <x v="0"/>
    <s v="Management"/>
    <s v="Yes"/>
    <x v="2"/>
    <x v="4"/>
    <x v="2"/>
    <n v="63"/>
    <x v="1"/>
    <x v="0"/>
    <n v="0"/>
    <x v="1"/>
  </r>
  <r>
    <n v="29134"/>
    <x v="0"/>
    <x v="1"/>
    <x v="10"/>
    <n v="4"/>
    <x v="0"/>
    <s v="Skilled Manual"/>
    <s v="No"/>
    <x v="4"/>
    <x v="4"/>
    <x v="2"/>
    <n v="42"/>
    <x v="0"/>
    <x v="0"/>
    <n v="0"/>
    <x v="3"/>
  </r>
  <r>
    <n v="14332"/>
    <x v="1"/>
    <x v="0"/>
    <x v="1"/>
    <n v="0"/>
    <x v="2"/>
    <s v="Skilled Manual"/>
    <s v="No"/>
    <x v="2"/>
    <x v="2"/>
    <x v="2"/>
    <n v="26"/>
    <x v="2"/>
    <x v="0"/>
    <n v="0"/>
    <x v="0"/>
  </r>
  <r>
    <n v="19117"/>
    <x v="1"/>
    <x v="0"/>
    <x v="10"/>
    <n v="1"/>
    <x v="4"/>
    <s v="Professional"/>
    <s v="Yes"/>
    <x v="0"/>
    <x v="1"/>
    <x v="2"/>
    <n v="36"/>
    <x v="0"/>
    <x v="1"/>
    <n v="1"/>
    <x v="3"/>
  </r>
  <r>
    <n v="22864"/>
    <x v="0"/>
    <x v="1"/>
    <x v="8"/>
    <n v="2"/>
    <x v="1"/>
    <s v="Professional"/>
    <s v="No"/>
    <x v="0"/>
    <x v="2"/>
    <x v="2"/>
    <n v="49"/>
    <x v="0"/>
    <x v="1"/>
    <n v="1"/>
    <x v="2"/>
  </r>
  <r>
    <n v="11292"/>
    <x v="1"/>
    <x v="1"/>
    <x v="13"/>
    <n v="1"/>
    <x v="1"/>
    <s v="Professional"/>
    <s v="No"/>
    <x v="4"/>
    <x v="0"/>
    <x v="2"/>
    <n v="44"/>
    <x v="0"/>
    <x v="1"/>
    <n v="1"/>
    <x v="2"/>
  </r>
  <r>
    <n v="13466"/>
    <x v="0"/>
    <x v="1"/>
    <x v="2"/>
    <n v="5"/>
    <x v="1"/>
    <s v="Professional"/>
    <s v="Yes"/>
    <x v="4"/>
    <x v="3"/>
    <x v="2"/>
    <n v="46"/>
    <x v="0"/>
    <x v="0"/>
    <n v="0"/>
    <x v="1"/>
  </r>
  <r>
    <n v="23731"/>
    <x v="0"/>
    <x v="1"/>
    <x v="10"/>
    <n v="2"/>
    <x v="2"/>
    <s v="Professional"/>
    <s v="Yes"/>
    <x v="2"/>
    <x v="1"/>
    <x v="2"/>
    <n v="54"/>
    <x v="0"/>
    <x v="1"/>
    <n v="1"/>
    <x v="3"/>
  </r>
  <r>
    <n v="28672"/>
    <x v="1"/>
    <x v="1"/>
    <x v="3"/>
    <n v="4"/>
    <x v="4"/>
    <s v="Professional"/>
    <s v="Yes"/>
    <x v="0"/>
    <x v="1"/>
    <x v="2"/>
    <n v="35"/>
    <x v="0"/>
    <x v="1"/>
    <n v="1"/>
    <x v="1"/>
  </r>
  <r>
    <n v="11809"/>
    <x v="0"/>
    <x v="1"/>
    <x v="10"/>
    <n v="2"/>
    <x v="0"/>
    <s v="Skilled Manual"/>
    <s v="Yes"/>
    <x v="0"/>
    <x v="0"/>
    <x v="2"/>
    <n v="38"/>
    <x v="0"/>
    <x v="1"/>
    <n v="1"/>
    <x v="3"/>
  </r>
  <r>
    <n v="19664"/>
    <x v="1"/>
    <x v="1"/>
    <x v="11"/>
    <n v="3"/>
    <x v="0"/>
    <s v="Management"/>
    <s v="No"/>
    <x v="4"/>
    <x v="3"/>
    <x v="2"/>
    <n v="38"/>
    <x v="0"/>
    <x v="0"/>
    <n v="0"/>
    <x v="2"/>
  </r>
  <r>
    <n v="12121"/>
    <x v="1"/>
    <x v="1"/>
    <x v="10"/>
    <n v="3"/>
    <x v="2"/>
    <s v="Professional"/>
    <s v="Yes"/>
    <x v="2"/>
    <x v="4"/>
    <x v="2"/>
    <n v="53"/>
    <x v="0"/>
    <x v="1"/>
    <n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3A6547-5B4C-41C2-8CB0-F9D160704943}" name="KPI_Pivot"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0:C61" firstHeaderRow="0" firstDataRow="1" firstDataCol="0"/>
  <pivotFields count="16">
    <pivotField dataField="1" showAll="0"/>
    <pivotField showAll="0">
      <items count="3">
        <item x="0"/>
        <item x="1"/>
        <item t="default"/>
      </items>
    </pivotField>
    <pivotField showAll="0"/>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showAll="0"/>
    <pivotField dataField="1" showAll="0"/>
    <pivotField showAll="0"/>
  </pivotFields>
  <rowItems count="1">
    <i/>
  </rowItems>
  <colFields count="1">
    <field x="-2"/>
  </colFields>
  <colItems count="3">
    <i>
      <x/>
    </i>
    <i i="1">
      <x v="1"/>
    </i>
    <i i="2">
      <x v="2"/>
    </i>
  </colItems>
  <dataFields count="3">
    <dataField name="Customers" fld="0" subtotal="count" baseField="0" baseItem="1"/>
    <dataField name="Purchase Rate" fld="14" subtotal="average" baseField="0" baseItem="1" numFmtId="171"/>
    <dataField name="Avg Income" fld="3" subtotal="average" baseField="0"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FEB044-3103-46B9-AC61-16CAFC47A235}"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7" firstHeaderRow="1" firstDataRow="2" firstDataCol="1"/>
  <pivotFields count="16">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19">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6E0EAA-F65B-4DD0-ABB3-5F75714620F9}" name="PivotTable3"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0:D55" firstHeaderRow="1" firstDataRow="2" firstDataCol="1"/>
  <pivotFields count="16">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 showAll="0"/>
    <pivotField showAll="0"/>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6C97D8-9766-44C0-9D55-E225EC844481}"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5:D32" firstHeaderRow="1" firstDataRow="2" firstDataCol="1"/>
  <pivotFields count="16">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2"/>
        <item x="4"/>
        <item n="pu" x="1"/>
        <item t="default"/>
      </items>
    </pivotField>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444380-680E-40BA-8B5A-3394880084F9}" name="pt_Education"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ducation">
  <location ref="A64:C70" firstHeaderRow="0" firstDataRow="1" firstDataCol="1"/>
  <pivotFields count="16">
    <pivotField dataField="1" showAll="0"/>
    <pivotField showAll="0"/>
    <pivotField showAll="0"/>
    <pivotField numFmtId="164" showAll="0"/>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showAll="0"/>
    <pivotField dataField="1" showAll="0"/>
    <pivotField showAll="0"/>
  </pivotFields>
  <rowFields count="1">
    <field x="5"/>
  </rowFields>
  <rowItems count="6">
    <i>
      <x/>
    </i>
    <i>
      <x v="1"/>
    </i>
    <i>
      <x v="2"/>
    </i>
    <i>
      <x v="3"/>
    </i>
    <i>
      <x v="4"/>
    </i>
    <i t="grand">
      <x/>
    </i>
  </rowItems>
  <colFields count="1">
    <field x="-2"/>
  </colFields>
  <colItems count="2">
    <i>
      <x/>
    </i>
    <i i="1">
      <x v="1"/>
    </i>
  </colItems>
  <dataFields count="2">
    <dataField name="Customers" fld="0" subtotal="count" baseField="5" baseItem="1"/>
    <dataField name="Purchase Rate" fld="14" subtotal="average" baseField="5"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389FCE1-6190-42A1-BE1D-F45EE78A1A22}" name="pt_IncomeBand"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come Band">
  <location ref="A54:C59" firstHeaderRow="0" firstDataRow="1" firstDataCol="1"/>
  <pivotFields count="16">
    <pivotField dataField="1" showAll="0"/>
    <pivotField showAll="0"/>
    <pivotField showAll="0"/>
    <pivotField numFmtId="164" showAll="0">
      <items count="17">
        <item x="4"/>
        <item x="6"/>
        <item x="1"/>
        <item x="0"/>
        <item x="14"/>
        <item x="10"/>
        <item x="3"/>
        <item x="2"/>
        <item x="8"/>
        <item x="11"/>
        <item x="15"/>
        <item x="7"/>
        <item x="12"/>
        <item x="13"/>
        <item x="5"/>
        <item x="9"/>
        <item t="default"/>
      </items>
    </pivotField>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0"/>
        <item x="3"/>
        <item x="1"/>
        <item x="2"/>
        <item t="default"/>
      </items>
    </pivotField>
  </pivotFields>
  <rowFields count="1">
    <field x="15"/>
  </rowFields>
  <rowItems count="5">
    <i>
      <x/>
    </i>
    <i>
      <x v="1"/>
    </i>
    <i>
      <x v="2"/>
    </i>
    <i>
      <x v="3"/>
    </i>
    <i t="grand">
      <x/>
    </i>
  </rowItems>
  <colFields count="1">
    <field x="-2"/>
  </colFields>
  <colItems count="2">
    <i>
      <x/>
    </i>
    <i i="1">
      <x v="1"/>
    </i>
  </colItems>
  <dataFields count="2">
    <dataField name="Customers" fld="0" subtotal="count" baseField="15" baseItem="0"/>
    <dataField name="Purchase Rate" fld="14" subtotal="average" baseField="15"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0D27394-A762-4D99-B069-D796F7B29974}" name="pt_Marital"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location ref="A44:C47" firstHeaderRow="0" firstDataRow="1" firstDataCol="1"/>
  <pivotFields count="16">
    <pivotField dataField="1" showAll="0"/>
    <pivotField axis="axisRow" showAll="0">
      <items count="3">
        <item x="0"/>
        <item x="1"/>
        <item t="default"/>
      </items>
    </pivotField>
    <pivotField showAll="0"/>
    <pivotField numFmtId="164"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
    <i>
      <x/>
    </i>
    <i>
      <x v="1"/>
    </i>
    <i t="grand">
      <x/>
    </i>
  </rowItems>
  <colFields count="1">
    <field x="-2"/>
  </colFields>
  <colItems count="2">
    <i>
      <x/>
    </i>
    <i i="1">
      <x v="1"/>
    </i>
  </colItems>
  <dataFields count="2">
    <dataField name="Customers" fld="0" subtotal="count" baseField="1" baseItem="0"/>
    <dataField name="Purchase Rate" fld="14" subtotal="average" baseField="1"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B63922-246F-4826-9A8E-5AF3F39BE181}" name="pt_Region"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4:C3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dataField="1" showAll="0"/>
    <pivotField showAll="0"/>
  </pivotFields>
  <rowFields count="1">
    <field x="10"/>
  </rowFields>
  <rowItems count="4">
    <i>
      <x/>
    </i>
    <i>
      <x v="1"/>
    </i>
    <i>
      <x v="2"/>
    </i>
    <i t="grand">
      <x/>
    </i>
  </rowItems>
  <colFields count="1">
    <field x="-2"/>
  </colFields>
  <colItems count="2">
    <i>
      <x/>
    </i>
    <i i="1">
      <x v="1"/>
    </i>
  </colItems>
  <dataFields count="2">
    <dataField name="Customers" fld="0" subtotal="count" baseField="10" baseItem="2"/>
    <dataField name="Purchase Rate" fld="14" subtotal="average" baseField="10"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C518756-8F73-41FE-8274-9DAD560D3AC2}" name="pt_Commute"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_x0009_Commute Distance">
  <location ref="A24:C30" firstHeaderRow="0" firstDataRow="1" firstDataCol="1"/>
  <pivotFields count="16">
    <pivotField dataField="1" showAll="0"/>
    <pivotField showAll="0"/>
    <pivotField showAll="0"/>
    <pivotField numFmtId="164"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showAll="0"/>
    <pivotField dataField="1" showAll="0"/>
    <pivotField showAll="0"/>
  </pivotFields>
  <rowFields count="1">
    <field x="9"/>
  </rowFields>
  <rowItems count="6">
    <i>
      <x/>
    </i>
    <i>
      <x v="1"/>
    </i>
    <i>
      <x v="2"/>
    </i>
    <i>
      <x v="3"/>
    </i>
    <i>
      <x v="4"/>
    </i>
    <i t="grand">
      <x/>
    </i>
  </rowItems>
  <colFields count="1">
    <field x="-2"/>
  </colFields>
  <colItems count="2">
    <i>
      <x/>
    </i>
    <i i="1">
      <x v="1"/>
    </i>
  </colItems>
  <dataFields count="2">
    <dataField name="Customers" fld="0" subtotal="count" baseField="9" baseItem="4"/>
    <dataField name="Purchase Rate" fld="14" subtotal="average" baseField="9"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6289C2B-3851-46DF-93D6-3CD5FB35142C}" name="pt_AgeRange"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Range">
  <location ref="A14:C1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dataField="1" showAll="0"/>
    <pivotField showAll="0"/>
  </pivotFields>
  <rowFields count="1">
    <field x="12"/>
  </rowFields>
  <rowItems count="4">
    <i>
      <x/>
    </i>
    <i>
      <x v="1"/>
    </i>
    <i>
      <x v="2"/>
    </i>
    <i t="grand">
      <x/>
    </i>
  </rowItems>
  <colFields count="1">
    <field x="-2"/>
  </colFields>
  <colItems count="2">
    <i>
      <x/>
    </i>
    <i i="1">
      <x v="1"/>
    </i>
  </colItems>
  <dataFields count="2">
    <dataField name="Customers" fld="0" subtotal="count" baseField="12" baseItem="0"/>
    <dataField name="Purchase Rate" fld="14" subtotal="average" baseField="12"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EC16F3-0578-4BA5-A3B7-BEDA0187E4FF}" name="pt_Cars"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rs">
  <location ref="A4:C10" firstHeaderRow="0" firstDataRow="1" firstDataCol="1"/>
  <pivotFields count="16">
    <pivotField dataField="1" showAll="0"/>
    <pivotField showAll="0"/>
    <pivotField showAll="0"/>
    <pivotField numFmtId="164" showAll="0"/>
    <pivotField showAll="0"/>
    <pivotField showAll="0"/>
    <pivotField showAll="0"/>
    <pivotField showAll="0"/>
    <pivotField axis="axisRow" showAll="0">
      <items count="6">
        <item x="0"/>
        <item x="1"/>
        <item x="2"/>
        <item x="4"/>
        <item x="3"/>
        <item t="default"/>
      </items>
    </pivotField>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dataFields count="2">
    <dataField name="Customers" fld="0" subtotal="count" baseField="8" baseItem="0"/>
    <dataField name="Purchase Rate" fld="14" subtotal="average" baseField="8"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 tabId="3" name="KPI_Pivot"/>
  </pivotTables>
  <data>
    <tabular pivotCacheId="30524327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 tabId="3" name="KPI_Pivot"/>
  </pivotTables>
  <data>
    <tabular pivotCacheId="30524327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 tabId="3" name="KPI_Pivot"/>
  </pivotTables>
  <data>
    <tabular pivotCacheId="305243278">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P1001"/>
  <sheetViews>
    <sheetView topLeftCell="B1" workbookViewId="0">
      <pane ySplit="1" topLeftCell="A970" activePane="bottomLeft" state="frozen"/>
      <selection pane="bottomLeft" activeCell="G995" sqref="G995"/>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6" x14ac:dyDescent="0.25">
      <c r="A1" t="s">
        <v>0</v>
      </c>
      <c r="B1" t="s">
        <v>1</v>
      </c>
      <c r="C1" t="s">
        <v>2</v>
      </c>
      <c r="D1" t="s">
        <v>3</v>
      </c>
      <c r="E1" t="s">
        <v>4</v>
      </c>
      <c r="F1" t="s">
        <v>5</v>
      </c>
      <c r="G1" t="s">
        <v>6</v>
      </c>
      <c r="H1" t="s">
        <v>7</v>
      </c>
      <c r="I1" t="s">
        <v>8</v>
      </c>
      <c r="J1" t="s">
        <v>9</v>
      </c>
      <c r="K1" t="s">
        <v>10</v>
      </c>
      <c r="L1" t="s">
        <v>11</v>
      </c>
      <c r="M1" t="s">
        <v>56</v>
      </c>
      <c r="N1" t="s">
        <v>12</v>
      </c>
      <c r="O1" t="s">
        <v>93</v>
      </c>
      <c r="P1" t="s">
        <v>94</v>
      </c>
    </row>
    <row r="2" spans="1:16"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c r="O2">
        <f>IF(N2="Yes",1,0)</f>
        <v>0</v>
      </c>
      <c r="P2" t="str" cm="1">
        <f t="array" ref="P2">_xlfn.IFS(D2&lt;=40000,"1. Up to 40K",D2&lt;=60000,"2. 40-60K",D2&lt;=80000,"3. 60-80K",TRUE,"4. Over 80K")</f>
        <v>1. Up to 40K</v>
      </c>
    </row>
    <row r="3" spans="1:16"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c r="O3">
        <f t="shared" ref="O3:O66" si="0">IF(N3="Yes",1,0)</f>
        <v>0</v>
      </c>
      <c r="P3" t="str" cm="1">
        <f t="array" ref="P3">_xlfn.IFS(D3&lt;=40000,"1. Up to 40K",D3&lt;=60000,"2. 40-60K",D3&lt;=80000,"3. 60-80K",TRUE,"4. Over 80K")</f>
        <v>1. Up to 40K</v>
      </c>
    </row>
    <row r="4" spans="1:16"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c r="O4">
        <f t="shared" si="0"/>
        <v>0</v>
      </c>
      <c r="P4" t="str" cm="1">
        <f t="array" ref="P4">_xlfn.IFS(D4&lt;=40000,"1. Up to 40K",D4&lt;=60000,"2. 40-60K",D4&lt;=80000,"3. 60-80K",TRUE,"4. Over 80K")</f>
        <v>3. 60-80K</v>
      </c>
    </row>
    <row r="5" spans="1:16"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c r="O5">
        <f t="shared" si="0"/>
        <v>1</v>
      </c>
      <c r="P5" t="str" cm="1">
        <f t="array" ref="P5">_xlfn.IFS(D5&lt;=40000,"1. Up to 40K",D5&lt;=60000,"2. 40-60K",D5&lt;=80000,"3. 60-80K",TRUE,"4. Over 80K")</f>
        <v>3. 60-80K</v>
      </c>
    </row>
    <row r="6" spans="1:16"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c r="O6">
        <f t="shared" si="0"/>
        <v>1</v>
      </c>
      <c r="P6" t="str" cm="1">
        <f t="array" ref="P6">_xlfn.IFS(D6&lt;=40000,"1. Up to 40K",D6&lt;=60000,"2. 40-60K",D6&lt;=80000,"3. 60-80K",TRUE,"4. Over 80K")</f>
        <v>1. Up to 40K</v>
      </c>
    </row>
    <row r="7" spans="1:16"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c r="O7">
        <f t="shared" si="0"/>
        <v>0</v>
      </c>
      <c r="P7" t="str" cm="1">
        <f t="array" ref="P7">_xlfn.IFS(D7&lt;=40000,"1. Up to 40K",D7&lt;=60000,"2. 40-60K",D7&lt;=80000,"3. 60-80K",TRUE,"4. Over 80K")</f>
        <v>1. Up to 40K</v>
      </c>
    </row>
    <row r="8" spans="1:16"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c r="O8">
        <f t="shared" si="0"/>
        <v>1</v>
      </c>
      <c r="P8" t="str" cm="1">
        <f t="array" ref="P8">_xlfn.IFS(D8&lt;=40000,"1. Up to 40K",D8&lt;=60000,"2. 40-60K",D8&lt;=80000,"3. 60-80K",TRUE,"4. Over 80K")</f>
        <v>4. Over 80K</v>
      </c>
    </row>
    <row r="9" spans="1:16"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c r="O9">
        <f t="shared" si="0"/>
        <v>1</v>
      </c>
      <c r="P9" t="str" cm="1">
        <f t="array" ref="P9">_xlfn.IFS(D9&lt;=40000,"1. Up to 40K",D9&lt;=60000,"2. 40-60K",D9&lt;=80000,"3. 60-80K",TRUE,"4. Over 80K")</f>
        <v>1. Up to 40K</v>
      </c>
    </row>
    <row r="10" spans="1:16"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c r="O10">
        <f t="shared" si="0"/>
        <v>0</v>
      </c>
      <c r="P10" t="str" cm="1">
        <f t="array" ref="P10">_xlfn.IFS(D10&lt;=40000,"1. Up to 40K",D10&lt;=60000,"2. 40-60K",D10&lt;=80000,"3. 60-80K",TRUE,"4. Over 80K")</f>
        <v>1. Up to 40K</v>
      </c>
    </row>
    <row r="11" spans="1:16"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c r="O11">
        <f t="shared" si="0"/>
        <v>1</v>
      </c>
      <c r="P11" t="str" cm="1">
        <f t="array" ref="P11">_xlfn.IFS(D11&lt;=40000,"1. Up to 40K",D11&lt;=60000,"2. 40-60K",D11&lt;=80000,"3. 60-80K",TRUE,"4. Over 80K")</f>
        <v>4. Over 80K</v>
      </c>
    </row>
    <row r="12" spans="1:16"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c r="O12">
        <f t="shared" si="0"/>
        <v>1</v>
      </c>
      <c r="P12" t="str" cm="1">
        <f t="array" ref="P12">_xlfn.IFS(D12&lt;=40000,"1. Up to 40K",D12&lt;=60000,"2. 40-60K",D12&lt;=80000,"3. 60-80K",TRUE,"4. Over 80K")</f>
        <v>1. Up to 40K</v>
      </c>
    </row>
    <row r="13" spans="1:16" x14ac:dyDescent="0.25">
      <c r="A13">
        <v>12697</v>
      </c>
      <c r="B13" t="s">
        <v>51</v>
      </c>
      <c r="C13" t="s">
        <v>52</v>
      </c>
      <c r="D13" s="1">
        <v>90000</v>
      </c>
      <c r="E13">
        <v>0</v>
      </c>
      <c r="F13" t="s">
        <v>13</v>
      </c>
      <c r="G13" t="s">
        <v>21</v>
      </c>
      <c r="H13" t="s">
        <v>18</v>
      </c>
      <c r="I13">
        <v>4</v>
      </c>
      <c r="J13" t="s">
        <v>72</v>
      </c>
      <c r="K13" t="s">
        <v>24</v>
      </c>
      <c r="L13">
        <v>36</v>
      </c>
      <c r="M13" t="str" cm="1">
        <f t="array" ref="M13">_xlfn.IFS(L13&lt;31, "Young Adult", L13&lt;=55, "Middle Age", L13&gt;55, "Old")</f>
        <v>Middle Age</v>
      </c>
      <c r="N13" t="s">
        <v>18</v>
      </c>
      <c r="O13">
        <f t="shared" si="0"/>
        <v>0</v>
      </c>
      <c r="P13" t="str" cm="1">
        <f t="array" ref="P13">_xlfn.IFS(D13&lt;=40000,"1. Up to 40K",D13&lt;=60000,"2. 40-60K",D13&lt;=80000,"3. 60-80K",TRUE,"4. Over 80K")</f>
        <v>4. Over 80K</v>
      </c>
    </row>
    <row r="14" spans="1:16"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c r="O14">
        <f t="shared" si="0"/>
        <v>0</v>
      </c>
      <c r="P14" t="str" cm="1">
        <f t="array" ref="P14">_xlfn.IFS(D14&lt;=40000,"1. Up to 40K",D14&lt;=60000,"2. 40-60K",D14&lt;=80000,"3. 60-80K",TRUE,"4. Over 80K")</f>
        <v>4. Over 80K</v>
      </c>
    </row>
    <row r="15" spans="1:16"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c r="O15">
        <f t="shared" si="0"/>
        <v>1</v>
      </c>
      <c r="P15" t="str" cm="1">
        <f t="array" ref="P15">_xlfn.IFS(D15&lt;=40000,"1. Up to 40K",D15&lt;=60000,"2. 40-60K",D15&lt;=80000,"3. 60-80K",TRUE,"4. Over 80K")</f>
        <v>1. Up to 40K</v>
      </c>
    </row>
    <row r="16" spans="1:16"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c r="O16">
        <f t="shared" si="0"/>
        <v>1</v>
      </c>
      <c r="P16" t="str" cm="1">
        <f t="array" ref="P16">_xlfn.IFS(D16&lt;=40000,"1. Up to 40K",D16&lt;=60000,"2. 40-60K",D16&lt;=80000,"3. 60-80K",TRUE,"4. Over 80K")</f>
        <v>2. 40-60K</v>
      </c>
    </row>
    <row r="17" spans="1:16"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c r="O17">
        <f t="shared" si="0"/>
        <v>1</v>
      </c>
      <c r="P17" t="str" cm="1">
        <f t="array" ref="P17">_xlfn.IFS(D17&lt;=40000,"1. Up to 40K",D17&lt;=60000,"2. 40-60K",D17&lt;=80000,"3. 60-80K",TRUE,"4. Over 80K")</f>
        <v>1. Up to 40K</v>
      </c>
    </row>
    <row r="18" spans="1:16"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c r="O18">
        <f t="shared" si="0"/>
        <v>1</v>
      </c>
      <c r="P18" t="str" cm="1">
        <f t="array" ref="P18">_xlfn.IFS(D18&lt;=40000,"1. Up to 40K",D18&lt;=60000,"2. 40-60K",D18&lt;=80000,"3. 60-80K",TRUE,"4. Over 80K")</f>
        <v>1. Up to 40K</v>
      </c>
    </row>
    <row r="19" spans="1:16"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c r="O19">
        <f t="shared" si="0"/>
        <v>0</v>
      </c>
      <c r="P19" t="str" cm="1">
        <f t="array" ref="P19">_xlfn.IFS(D19&lt;=40000,"1. Up to 40K",D19&lt;=60000,"2. 40-60K",D19&lt;=80000,"3. 60-80K",TRUE,"4. Over 80K")</f>
        <v>1. Up to 40K</v>
      </c>
    </row>
    <row r="20" spans="1:16"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c r="O20">
        <f t="shared" si="0"/>
        <v>1</v>
      </c>
      <c r="P20" t="str" cm="1">
        <f t="array" ref="P20">_xlfn.IFS(D20&lt;=40000,"1. Up to 40K",D20&lt;=60000,"2. 40-60K",D20&lt;=80000,"3. 60-80K",TRUE,"4. Over 80K")</f>
        <v>1. Up to 40K</v>
      </c>
    </row>
    <row r="21" spans="1:16"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c r="O21">
        <f t="shared" si="0"/>
        <v>1</v>
      </c>
      <c r="P21" t="str" cm="1">
        <f t="array" ref="P21">_xlfn.IFS(D21&lt;=40000,"1. Up to 40K",D21&lt;=60000,"2. 40-60K",D21&lt;=80000,"3. 60-80K",TRUE,"4. Over 80K")</f>
        <v>1. Up to 40K</v>
      </c>
    </row>
    <row r="22" spans="1:16"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c r="O22">
        <f t="shared" si="0"/>
        <v>1</v>
      </c>
      <c r="P22" t="str" cm="1">
        <f t="array" ref="P22">_xlfn.IFS(D22&lt;=40000,"1. Up to 40K",D22&lt;=60000,"2. 40-60K",D22&lt;=80000,"3. 60-80K",TRUE,"4. Over 80K")</f>
        <v>1. Up to 40K</v>
      </c>
    </row>
    <row r="23" spans="1:16" x14ac:dyDescent="0.25">
      <c r="A23">
        <v>21564</v>
      </c>
      <c r="B23" t="s">
        <v>51</v>
      </c>
      <c r="C23" t="s">
        <v>52</v>
      </c>
      <c r="D23" s="1">
        <v>80000</v>
      </c>
      <c r="E23">
        <v>0</v>
      </c>
      <c r="F23" t="s">
        <v>13</v>
      </c>
      <c r="G23" t="s">
        <v>21</v>
      </c>
      <c r="H23" t="s">
        <v>15</v>
      </c>
      <c r="I23">
        <v>4</v>
      </c>
      <c r="J23" t="s">
        <v>72</v>
      </c>
      <c r="K23" t="s">
        <v>24</v>
      </c>
      <c r="L23">
        <v>35</v>
      </c>
      <c r="M23" t="str" cm="1">
        <f t="array" ref="M23">_xlfn.IFS(L23&lt;31, "Young Adult", L23&lt;=55, "Middle Age", L23&gt;55, "Old")</f>
        <v>Middle Age</v>
      </c>
      <c r="N23" t="s">
        <v>18</v>
      </c>
      <c r="O23">
        <f t="shared" si="0"/>
        <v>0</v>
      </c>
      <c r="P23" t="str" cm="1">
        <f t="array" ref="P23">_xlfn.IFS(D23&lt;=40000,"1. Up to 40K",D23&lt;=60000,"2. 40-60K",D23&lt;=80000,"3. 60-80K",TRUE,"4. Over 80K")</f>
        <v>3. 60-80K</v>
      </c>
    </row>
    <row r="24" spans="1:16"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c r="O24">
        <f t="shared" si="0"/>
        <v>1</v>
      </c>
      <c r="P24" t="str" cm="1">
        <f t="array" ref="P24">_xlfn.IFS(D24&lt;=40000,"1. Up to 40K",D24&lt;=60000,"2. 40-60K",D24&lt;=80000,"3. 60-80K",TRUE,"4. Over 80K")</f>
        <v>1. Up to 40K</v>
      </c>
    </row>
    <row r="25" spans="1:16"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c r="O25">
        <f t="shared" si="0"/>
        <v>0</v>
      </c>
      <c r="P25" t="str" cm="1">
        <f t="array" ref="P25">_xlfn.IFS(D25&lt;=40000,"1. Up to 40K",D25&lt;=60000,"2. 40-60K",D25&lt;=80000,"3. 60-80K",TRUE,"4. Over 80K")</f>
        <v>3. 60-80K</v>
      </c>
    </row>
    <row r="26" spans="1:16"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c r="O26">
        <f t="shared" si="0"/>
        <v>0</v>
      </c>
      <c r="P26" t="str" cm="1">
        <f t="array" ref="P26">_xlfn.IFS(D26&lt;=40000,"1. Up to 40K",D26&lt;=60000,"2. 40-60K",D26&lt;=80000,"3. 60-80K",TRUE,"4. Over 80K")</f>
        <v>1. Up to 40K</v>
      </c>
    </row>
    <row r="27" spans="1:16"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c r="O27">
        <f t="shared" si="0"/>
        <v>0</v>
      </c>
      <c r="P27" t="str" cm="1">
        <f t="array" ref="P27">_xlfn.IFS(D27&lt;=40000,"1. Up to 40K",D27&lt;=60000,"2. 40-60K",D27&lt;=80000,"3. 60-80K",TRUE,"4. Over 80K")</f>
        <v>1. Up to 40K</v>
      </c>
    </row>
    <row r="28" spans="1:16"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c r="O28">
        <f t="shared" si="0"/>
        <v>1</v>
      </c>
      <c r="P28" t="str" cm="1">
        <f t="array" ref="P28">_xlfn.IFS(D28&lt;=40000,"1. Up to 40K",D28&lt;=60000,"2. 40-60K",D28&lt;=80000,"3. 60-80K",TRUE,"4. Over 80K")</f>
        <v>1. Up to 40K</v>
      </c>
    </row>
    <row r="29" spans="1:16"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c r="O29">
        <f t="shared" si="0"/>
        <v>0</v>
      </c>
      <c r="P29" t="str" cm="1">
        <f t="array" ref="P29">_xlfn.IFS(D29&lt;=40000,"1. Up to 40K",D29&lt;=60000,"2. 40-60K",D29&lt;=80000,"3. 60-80K",TRUE,"4. Over 80K")</f>
        <v>4. Over 80K</v>
      </c>
    </row>
    <row r="30" spans="1:16"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c r="O30">
        <f t="shared" si="0"/>
        <v>0</v>
      </c>
      <c r="P30" t="str" cm="1">
        <f t="array" ref="P30">_xlfn.IFS(D30&lt;=40000,"1. Up to 40K",D30&lt;=60000,"2. 40-60K",D30&lt;=80000,"3. 60-80K",TRUE,"4. Over 80K")</f>
        <v>3. 60-80K</v>
      </c>
    </row>
    <row r="31" spans="1:16"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c r="O31">
        <f t="shared" si="0"/>
        <v>1</v>
      </c>
      <c r="P31" t="str" cm="1">
        <f t="array" ref="P31">_xlfn.IFS(D31&lt;=40000,"1. Up to 40K",D31&lt;=60000,"2. 40-60K",D31&lt;=80000,"3. 60-80K",TRUE,"4. Over 80K")</f>
        <v>1. Up to 40K</v>
      </c>
    </row>
    <row r="32" spans="1:16"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c r="O32">
        <f t="shared" si="0"/>
        <v>0</v>
      </c>
      <c r="P32" t="str" cm="1">
        <f t="array" ref="P32">_xlfn.IFS(D32&lt;=40000,"1. Up to 40K",D32&lt;=60000,"2. 40-60K",D32&lt;=80000,"3. 60-80K",TRUE,"4. Over 80K")</f>
        <v>1. Up to 40K</v>
      </c>
    </row>
    <row r="33" spans="1:16"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c r="O33">
        <f t="shared" si="0"/>
        <v>1</v>
      </c>
      <c r="P33" t="str" cm="1">
        <f t="array" ref="P33">_xlfn.IFS(D33&lt;=40000,"1. Up to 40K",D33&lt;=60000,"2. 40-60K",D33&lt;=80000,"3. 60-80K",TRUE,"4. Over 80K")</f>
        <v>1. Up to 40K</v>
      </c>
    </row>
    <row r="34" spans="1:16"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c r="O34">
        <f t="shared" si="0"/>
        <v>0</v>
      </c>
      <c r="P34" t="str" cm="1">
        <f t="array" ref="P34">_xlfn.IFS(D34&lt;=40000,"1. Up to 40K",D34&lt;=60000,"2. 40-60K",D34&lt;=80000,"3. 60-80K",TRUE,"4. Over 80K")</f>
        <v>1. Up to 40K</v>
      </c>
    </row>
    <row r="35" spans="1:16"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c r="O35">
        <f t="shared" si="0"/>
        <v>1</v>
      </c>
      <c r="P35" t="str" cm="1">
        <f t="array" ref="P35">_xlfn.IFS(D35&lt;=40000,"1. Up to 40K",D35&lt;=60000,"2. 40-60K",D35&lt;=80000,"3. 60-80K",TRUE,"4. Over 80K")</f>
        <v>3. 60-80K</v>
      </c>
    </row>
    <row r="36" spans="1:16"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c r="O36">
        <f t="shared" si="0"/>
        <v>1</v>
      </c>
      <c r="P36" t="str" cm="1">
        <f t="array" ref="P36">_xlfn.IFS(D36&lt;=40000,"1. Up to 40K",D36&lt;=60000,"2. 40-60K",D36&lt;=80000,"3. 60-80K",TRUE,"4. Over 80K")</f>
        <v>4. Over 80K</v>
      </c>
    </row>
    <row r="37" spans="1:16"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c r="O37">
        <f t="shared" si="0"/>
        <v>0</v>
      </c>
      <c r="P37" t="str" cm="1">
        <f t="array" ref="P37">_xlfn.IFS(D37&lt;=40000,"1. Up to 40K",D37&lt;=60000,"2. 40-60K",D37&lt;=80000,"3. 60-80K",TRUE,"4. Over 80K")</f>
        <v>1. Up to 40K</v>
      </c>
    </row>
    <row r="38" spans="1:16"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c r="O38">
        <f t="shared" si="0"/>
        <v>1</v>
      </c>
      <c r="P38" t="str" cm="1">
        <f t="array" ref="P38">_xlfn.IFS(D38&lt;=40000,"1. Up to 40K",D38&lt;=60000,"2. 40-60K",D38&lt;=80000,"3. 60-80K",TRUE,"4. Over 80K")</f>
        <v>1. Up to 40K</v>
      </c>
    </row>
    <row r="39" spans="1:16"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c r="O39">
        <f t="shared" si="0"/>
        <v>0</v>
      </c>
      <c r="P39" t="str" cm="1">
        <f t="array" ref="P39">_xlfn.IFS(D39&lt;=40000,"1. Up to 40K",D39&lt;=60000,"2. 40-60K",D39&lt;=80000,"3. 60-80K",TRUE,"4. Over 80K")</f>
        <v>1. Up to 40K</v>
      </c>
    </row>
    <row r="40" spans="1:16"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c r="O40">
        <f t="shared" si="0"/>
        <v>0</v>
      </c>
      <c r="P40" t="str" cm="1">
        <f t="array" ref="P40">_xlfn.IFS(D40&lt;=40000,"1. Up to 40K",D40&lt;=60000,"2. 40-60K",D40&lt;=80000,"3. 60-80K",TRUE,"4. Over 80K")</f>
        <v>1. Up to 40K</v>
      </c>
    </row>
    <row r="41" spans="1:16"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c r="O41">
        <f t="shared" si="0"/>
        <v>1</v>
      </c>
      <c r="P41" t="str" cm="1">
        <f t="array" ref="P41">_xlfn.IFS(D41&lt;=40000,"1. Up to 40K",D41&lt;=60000,"2. 40-60K",D41&lt;=80000,"3. 60-80K",TRUE,"4. Over 80K")</f>
        <v>1. Up to 40K</v>
      </c>
    </row>
    <row r="42" spans="1:16"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c r="O42">
        <f t="shared" si="0"/>
        <v>0</v>
      </c>
      <c r="P42" t="str" cm="1">
        <f t="array" ref="P42">_xlfn.IFS(D42&lt;=40000,"1. Up to 40K",D42&lt;=60000,"2. 40-60K",D42&lt;=80000,"3. 60-80K",TRUE,"4. Over 80K")</f>
        <v>1. Up to 40K</v>
      </c>
    </row>
    <row r="43" spans="1:16"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c r="O43">
        <f t="shared" si="0"/>
        <v>1</v>
      </c>
      <c r="P43" t="str" cm="1">
        <f t="array" ref="P43">_xlfn.IFS(D43&lt;=40000,"1. Up to 40K",D43&lt;=60000,"2. 40-60K",D43&lt;=80000,"3. 60-80K",TRUE,"4. Over 80K")</f>
        <v>1. Up to 40K</v>
      </c>
    </row>
    <row r="44" spans="1:16"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c r="O44">
        <f t="shared" si="0"/>
        <v>0</v>
      </c>
      <c r="P44" t="str" cm="1">
        <f t="array" ref="P44">_xlfn.IFS(D44&lt;=40000,"1. Up to 40K",D44&lt;=60000,"2. 40-60K",D44&lt;=80000,"3. 60-80K",TRUE,"4. Over 80K")</f>
        <v>1. Up to 40K</v>
      </c>
    </row>
    <row r="45" spans="1:16"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c r="O45">
        <f t="shared" si="0"/>
        <v>1</v>
      </c>
      <c r="P45" t="str" cm="1">
        <f t="array" ref="P45">_xlfn.IFS(D45&lt;=40000,"1. Up to 40K",D45&lt;=60000,"2. 40-60K",D45&lt;=80000,"3. 60-80K",TRUE,"4. Over 80K")</f>
        <v>4. Over 80K</v>
      </c>
    </row>
    <row r="46" spans="1:16"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c r="O46">
        <f t="shared" si="0"/>
        <v>1</v>
      </c>
      <c r="P46" t="str" cm="1">
        <f t="array" ref="P46">_xlfn.IFS(D46&lt;=40000,"1. Up to 40K",D46&lt;=60000,"2. 40-60K",D46&lt;=80000,"3. 60-80K",TRUE,"4. Over 80K")</f>
        <v>1. Up to 40K</v>
      </c>
    </row>
    <row r="47" spans="1:16"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c r="O47">
        <f t="shared" si="0"/>
        <v>1</v>
      </c>
      <c r="P47" t="str" cm="1">
        <f t="array" ref="P47">_xlfn.IFS(D47&lt;=40000,"1. Up to 40K",D47&lt;=60000,"2. 40-60K",D47&lt;=80000,"3. 60-80K",TRUE,"4. Over 80K")</f>
        <v>1. Up to 40K</v>
      </c>
    </row>
    <row r="48" spans="1:16"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c r="O48">
        <f t="shared" si="0"/>
        <v>1</v>
      </c>
      <c r="P48" t="str" cm="1">
        <f t="array" ref="P48">_xlfn.IFS(D48&lt;=40000,"1. Up to 40K",D48&lt;=60000,"2. 40-60K",D48&lt;=80000,"3. 60-80K",TRUE,"4. Over 80K")</f>
        <v>2. 40-60K</v>
      </c>
    </row>
    <row r="49" spans="1:16"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c r="O49">
        <f t="shared" si="0"/>
        <v>1</v>
      </c>
      <c r="P49" t="str" cm="1">
        <f t="array" ref="P49">_xlfn.IFS(D49&lt;=40000,"1. Up to 40K",D49&lt;=60000,"2. 40-60K",D49&lt;=80000,"3. 60-80K",TRUE,"4. Over 80K")</f>
        <v>1. Up to 40K</v>
      </c>
    </row>
    <row r="50" spans="1:16"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c r="O50">
        <f t="shared" si="0"/>
        <v>0</v>
      </c>
      <c r="P50" t="str" cm="1">
        <f t="array" ref="P50">_xlfn.IFS(D50&lt;=40000,"1. Up to 40K",D50&lt;=60000,"2. 40-60K",D50&lt;=80000,"3. 60-80K",TRUE,"4. Over 80K")</f>
        <v>1. Up to 40K</v>
      </c>
    </row>
    <row r="51" spans="1:16"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c r="O51">
        <f t="shared" si="0"/>
        <v>1</v>
      </c>
      <c r="P51" t="str" cm="1">
        <f t="array" ref="P51">_xlfn.IFS(D51&lt;=40000,"1. Up to 40K",D51&lt;=60000,"2. 40-60K",D51&lt;=80000,"3. 60-80K",TRUE,"4. Over 80K")</f>
        <v>1. Up to 40K</v>
      </c>
    </row>
    <row r="52" spans="1:16"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c r="O52">
        <f t="shared" si="0"/>
        <v>0</v>
      </c>
      <c r="P52" t="str" cm="1">
        <f t="array" ref="P52">_xlfn.IFS(D52&lt;=40000,"1. Up to 40K",D52&lt;=60000,"2. 40-60K",D52&lt;=80000,"3. 60-80K",TRUE,"4. Over 80K")</f>
        <v>1. Up to 40K</v>
      </c>
    </row>
    <row r="53" spans="1:16" x14ac:dyDescent="0.25">
      <c r="A53">
        <v>20619</v>
      </c>
      <c r="B53" t="s">
        <v>51</v>
      </c>
      <c r="C53" t="s">
        <v>53</v>
      </c>
      <c r="D53" s="1">
        <v>80000</v>
      </c>
      <c r="E53">
        <v>0</v>
      </c>
      <c r="F53" t="s">
        <v>13</v>
      </c>
      <c r="G53" t="s">
        <v>21</v>
      </c>
      <c r="H53" t="s">
        <v>18</v>
      </c>
      <c r="I53">
        <v>4</v>
      </c>
      <c r="J53" t="s">
        <v>72</v>
      </c>
      <c r="K53" t="s">
        <v>24</v>
      </c>
      <c r="L53">
        <v>35</v>
      </c>
      <c r="M53" t="str" cm="1">
        <f t="array" ref="M53">_xlfn.IFS(L53&lt;31, "Young Adult", L53&lt;=55, "Middle Age", L53&gt;55, "Old")</f>
        <v>Middle Age</v>
      </c>
      <c r="N53" t="s">
        <v>18</v>
      </c>
      <c r="O53">
        <f t="shared" si="0"/>
        <v>0</v>
      </c>
      <c r="P53" t="str" cm="1">
        <f t="array" ref="P53">_xlfn.IFS(D53&lt;=40000,"1. Up to 40K",D53&lt;=60000,"2. 40-60K",D53&lt;=80000,"3. 60-80K",TRUE,"4. Over 80K")</f>
        <v>3. 60-80K</v>
      </c>
    </row>
    <row r="54" spans="1:16"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c r="O54">
        <f t="shared" si="0"/>
        <v>0</v>
      </c>
      <c r="P54" t="str" cm="1">
        <f t="array" ref="P54">_xlfn.IFS(D54&lt;=40000,"1. Up to 40K",D54&lt;=60000,"2. 40-60K",D54&lt;=80000,"3. 60-80K",TRUE,"4. Over 80K")</f>
        <v>1. Up to 40K</v>
      </c>
    </row>
    <row r="55" spans="1:16"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c r="O55">
        <f t="shared" si="0"/>
        <v>0</v>
      </c>
      <c r="P55" t="str" cm="1">
        <f t="array" ref="P55">_xlfn.IFS(D55&lt;=40000,"1. Up to 40K",D55&lt;=60000,"2. 40-60K",D55&lt;=80000,"3. 60-80K",TRUE,"4. Over 80K")</f>
        <v>4. Over 80K</v>
      </c>
    </row>
    <row r="56" spans="1:16"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c r="O56">
        <f t="shared" si="0"/>
        <v>0</v>
      </c>
      <c r="P56" t="str" cm="1">
        <f t="array" ref="P56">_xlfn.IFS(D56&lt;=40000,"1. Up to 40K",D56&lt;=60000,"2. 40-60K",D56&lt;=80000,"3. 60-80K",TRUE,"4. Over 80K")</f>
        <v>3. 60-80K</v>
      </c>
    </row>
    <row r="57" spans="1:16" x14ac:dyDescent="0.25">
      <c r="A57">
        <v>28906</v>
      </c>
      <c r="B57" t="s">
        <v>50</v>
      </c>
      <c r="C57" t="s">
        <v>53</v>
      </c>
      <c r="D57" s="1">
        <v>80000</v>
      </c>
      <c r="E57">
        <v>4</v>
      </c>
      <c r="F57" t="s">
        <v>27</v>
      </c>
      <c r="G57" t="s">
        <v>21</v>
      </c>
      <c r="H57" t="s">
        <v>15</v>
      </c>
      <c r="I57">
        <v>2</v>
      </c>
      <c r="J57" t="s">
        <v>72</v>
      </c>
      <c r="K57" t="s">
        <v>17</v>
      </c>
      <c r="L57">
        <v>54</v>
      </c>
      <c r="M57" t="str" cm="1">
        <f t="array" ref="M57">_xlfn.IFS(L57&lt;31, "Young Adult", L57&lt;=55, "Middle Age", L57&gt;55, "Old")</f>
        <v>Middle Age</v>
      </c>
      <c r="N57" t="s">
        <v>18</v>
      </c>
      <c r="O57">
        <f t="shared" si="0"/>
        <v>0</v>
      </c>
      <c r="P57" t="str" cm="1">
        <f t="array" ref="P57">_xlfn.IFS(D57&lt;=40000,"1. Up to 40K",D57&lt;=60000,"2. 40-60K",D57&lt;=80000,"3. 60-80K",TRUE,"4. Over 80K")</f>
        <v>3. 60-80K</v>
      </c>
    </row>
    <row r="58" spans="1:16"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c r="O58">
        <f t="shared" si="0"/>
        <v>1</v>
      </c>
      <c r="P58" t="str" cm="1">
        <f t="array" ref="P58">_xlfn.IFS(D58&lt;=40000,"1. Up to 40K",D58&lt;=60000,"2. 40-60K",D58&lt;=80000,"3. 60-80K",TRUE,"4. Over 80K")</f>
        <v>1. Up to 40K</v>
      </c>
    </row>
    <row r="59" spans="1:16"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c r="O59">
        <f t="shared" si="0"/>
        <v>1</v>
      </c>
      <c r="P59" t="str" cm="1">
        <f t="array" ref="P59">_xlfn.IFS(D59&lt;=40000,"1. Up to 40K",D59&lt;=60000,"2. 40-60K",D59&lt;=80000,"3. 60-80K",TRUE,"4. Over 80K")</f>
        <v>4. Over 80K</v>
      </c>
    </row>
    <row r="60" spans="1:16"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c r="O60">
        <f t="shared" si="0"/>
        <v>1</v>
      </c>
      <c r="P60" t="str" cm="1">
        <f t="array" ref="P60">_xlfn.IFS(D60&lt;=40000,"1. Up to 40K",D60&lt;=60000,"2. 40-60K",D60&lt;=80000,"3. 60-80K",TRUE,"4. Over 80K")</f>
        <v>1. Up to 40K</v>
      </c>
    </row>
    <row r="61" spans="1:16"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c r="O61">
        <f t="shared" si="0"/>
        <v>1</v>
      </c>
      <c r="P61" t="str" cm="1">
        <f t="array" ref="P61">_xlfn.IFS(D61&lt;=40000,"1. Up to 40K",D61&lt;=60000,"2. 40-60K",D61&lt;=80000,"3. 60-80K",TRUE,"4. Over 80K")</f>
        <v>2. 40-60K</v>
      </c>
    </row>
    <row r="62" spans="1:16"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c r="O62">
        <f t="shared" si="0"/>
        <v>0</v>
      </c>
      <c r="P62" t="str" cm="1">
        <f t="array" ref="P62">_xlfn.IFS(D62&lt;=40000,"1. Up to 40K",D62&lt;=60000,"2. 40-60K",D62&lt;=80000,"3. 60-80K",TRUE,"4. Over 80K")</f>
        <v>1. Up to 40K</v>
      </c>
    </row>
    <row r="63" spans="1:16"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c r="O63">
        <f t="shared" si="0"/>
        <v>0</v>
      </c>
      <c r="P63" t="str" cm="1">
        <f t="array" ref="P63">_xlfn.IFS(D63&lt;=40000,"1. Up to 40K",D63&lt;=60000,"2. 40-60K",D63&lt;=80000,"3. 60-80K",TRUE,"4. Over 80K")</f>
        <v>1. Up to 40K</v>
      </c>
    </row>
    <row r="64" spans="1:16"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c r="O64">
        <f t="shared" si="0"/>
        <v>1</v>
      </c>
      <c r="P64" t="str" cm="1">
        <f t="array" ref="P64">_xlfn.IFS(D64&lt;=40000,"1. Up to 40K",D64&lt;=60000,"2. 40-60K",D64&lt;=80000,"3. 60-80K",TRUE,"4. Over 80K")</f>
        <v>1. Up to 40K</v>
      </c>
    </row>
    <row r="65" spans="1:16" x14ac:dyDescent="0.25">
      <c r="A65">
        <v>16185</v>
      </c>
      <c r="B65" t="s">
        <v>51</v>
      </c>
      <c r="C65" t="s">
        <v>53</v>
      </c>
      <c r="D65" s="1">
        <v>60000</v>
      </c>
      <c r="E65">
        <v>4</v>
      </c>
      <c r="F65" t="s">
        <v>13</v>
      </c>
      <c r="G65" t="s">
        <v>21</v>
      </c>
      <c r="H65" t="s">
        <v>15</v>
      </c>
      <c r="I65">
        <v>3</v>
      </c>
      <c r="J65" t="s">
        <v>72</v>
      </c>
      <c r="K65" t="s">
        <v>24</v>
      </c>
      <c r="L65">
        <v>41</v>
      </c>
      <c r="M65" t="str" cm="1">
        <f t="array" ref="M65">_xlfn.IFS(L65&lt;31, "Young Adult", L65&lt;=55, "Middle Age", L65&gt;55, "Old")</f>
        <v>Middle Age</v>
      </c>
      <c r="N65" t="s">
        <v>18</v>
      </c>
      <c r="O65">
        <f t="shared" si="0"/>
        <v>0</v>
      </c>
      <c r="P65" t="str" cm="1">
        <f t="array" ref="P65">_xlfn.IFS(D65&lt;=40000,"1. Up to 40K",D65&lt;=60000,"2. 40-60K",D65&lt;=80000,"3. 60-80K",TRUE,"4. Over 80K")</f>
        <v>2. 40-60K</v>
      </c>
    </row>
    <row r="66" spans="1:16"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c r="O66">
        <f t="shared" si="0"/>
        <v>1</v>
      </c>
      <c r="P66" t="str" cm="1">
        <f t="array" ref="P66">_xlfn.IFS(D66&lt;=40000,"1. Up to 40K",D66&lt;=60000,"2. 40-60K",D66&lt;=80000,"3. 60-80K",TRUE,"4. Over 80K")</f>
        <v>1. Up to 40K</v>
      </c>
    </row>
    <row r="67" spans="1:16"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c r="O67">
        <f t="shared" ref="O67:O130" si="1">IF(N67="Yes",1,0)</f>
        <v>0</v>
      </c>
      <c r="P67" t="str" cm="1">
        <f t="array" ref="P67">_xlfn.IFS(D67&lt;=40000,"1. Up to 40K",D67&lt;=60000,"2. 40-60K",D67&lt;=80000,"3. 60-80K",TRUE,"4. Over 80K")</f>
        <v>1. Up to 40K</v>
      </c>
    </row>
    <row r="68" spans="1:16"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c r="O68">
        <f t="shared" si="1"/>
        <v>1</v>
      </c>
      <c r="P68" t="str" cm="1">
        <f t="array" ref="P68">_xlfn.IFS(D68&lt;=40000,"1. Up to 40K",D68&lt;=60000,"2. 40-60K",D68&lt;=80000,"3. 60-80K",TRUE,"4. Over 80K")</f>
        <v>1. Up to 40K</v>
      </c>
    </row>
    <row r="69" spans="1:16"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c r="O69">
        <f t="shared" si="1"/>
        <v>1</v>
      </c>
      <c r="P69" t="str" cm="1">
        <f t="array" ref="P69">_xlfn.IFS(D69&lt;=40000,"1. Up to 40K",D69&lt;=60000,"2. 40-60K",D69&lt;=80000,"3. 60-80K",TRUE,"4. Over 80K")</f>
        <v>1. Up to 40K</v>
      </c>
    </row>
    <row r="70" spans="1:16"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c r="O70">
        <f t="shared" si="1"/>
        <v>1</v>
      </c>
      <c r="P70" t="str" cm="1">
        <f t="array" ref="P70">_xlfn.IFS(D70&lt;=40000,"1. Up to 40K",D70&lt;=60000,"2. 40-60K",D70&lt;=80000,"3. 60-80K",TRUE,"4. Over 80K")</f>
        <v>1. Up to 40K</v>
      </c>
    </row>
    <row r="71" spans="1:16"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c r="O71">
        <f t="shared" si="1"/>
        <v>0</v>
      </c>
      <c r="P71" t="str" cm="1">
        <f t="array" ref="P71">_xlfn.IFS(D71&lt;=40000,"1. Up to 40K",D71&lt;=60000,"2. 40-60K",D71&lt;=80000,"3. 60-80K",TRUE,"4. Over 80K")</f>
        <v>1. Up to 40K</v>
      </c>
    </row>
    <row r="72" spans="1:16" x14ac:dyDescent="0.25">
      <c r="A72">
        <v>14238</v>
      </c>
      <c r="B72" t="s">
        <v>50</v>
      </c>
      <c r="C72" t="s">
        <v>53</v>
      </c>
      <c r="D72" s="1">
        <v>120000</v>
      </c>
      <c r="E72">
        <v>0</v>
      </c>
      <c r="F72" t="s">
        <v>29</v>
      </c>
      <c r="G72" t="s">
        <v>21</v>
      </c>
      <c r="H72" t="s">
        <v>15</v>
      </c>
      <c r="I72">
        <v>4</v>
      </c>
      <c r="J72" t="s">
        <v>72</v>
      </c>
      <c r="K72" t="s">
        <v>24</v>
      </c>
      <c r="L72">
        <v>36</v>
      </c>
      <c r="M72" t="str" cm="1">
        <f t="array" ref="M72">_xlfn.IFS(L72&lt;31, "Young Adult", L72&lt;=55, "Middle Age", L72&gt;55, "Old")</f>
        <v>Middle Age</v>
      </c>
      <c r="N72" t="s">
        <v>15</v>
      </c>
      <c r="O72">
        <f t="shared" si="1"/>
        <v>1</v>
      </c>
      <c r="P72" t="str" cm="1">
        <f t="array" ref="P72">_xlfn.IFS(D72&lt;=40000,"1. Up to 40K",D72&lt;=60000,"2. 40-60K",D72&lt;=80000,"3. 60-80K",TRUE,"4. Over 80K")</f>
        <v>4. Over 80K</v>
      </c>
    </row>
    <row r="73" spans="1:16"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c r="O73">
        <f t="shared" si="1"/>
        <v>0</v>
      </c>
      <c r="P73" t="str" cm="1">
        <f t="array" ref="P73">_xlfn.IFS(D73&lt;=40000,"1. Up to 40K",D73&lt;=60000,"2. 40-60K",D73&lt;=80000,"3. 60-80K",TRUE,"4. Over 80K")</f>
        <v>1. Up to 40K</v>
      </c>
    </row>
    <row r="74" spans="1:16"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c r="O74">
        <f t="shared" si="1"/>
        <v>0</v>
      </c>
      <c r="P74" t="str" cm="1">
        <f t="array" ref="P74">_xlfn.IFS(D74&lt;=40000,"1. Up to 40K",D74&lt;=60000,"2. 40-60K",D74&lt;=80000,"3. 60-80K",TRUE,"4. Over 80K")</f>
        <v>4. Over 80K</v>
      </c>
    </row>
    <row r="75" spans="1:16"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c r="O75">
        <f t="shared" si="1"/>
        <v>1</v>
      </c>
      <c r="P75" t="str" cm="1">
        <f t="array" ref="P75">_xlfn.IFS(D75&lt;=40000,"1. Up to 40K",D75&lt;=60000,"2. 40-60K",D75&lt;=80000,"3. 60-80K",TRUE,"4. Over 80K")</f>
        <v>1. Up to 40K</v>
      </c>
    </row>
    <row r="76" spans="1:16"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c r="O76">
        <f t="shared" si="1"/>
        <v>0</v>
      </c>
      <c r="P76" t="str" cm="1">
        <f t="array" ref="P76">_xlfn.IFS(D76&lt;=40000,"1. Up to 40K",D76&lt;=60000,"2. 40-60K",D76&lt;=80000,"3. 60-80K",TRUE,"4. Over 80K")</f>
        <v>1. Up to 40K</v>
      </c>
    </row>
    <row r="77" spans="1:16"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c r="O77">
        <f t="shared" si="1"/>
        <v>0</v>
      </c>
      <c r="P77" t="str" cm="1">
        <f t="array" ref="P77">_xlfn.IFS(D77&lt;=40000,"1. Up to 40K",D77&lt;=60000,"2. 40-60K",D77&lt;=80000,"3. 60-80K",TRUE,"4. Over 80K")</f>
        <v>4. Over 80K</v>
      </c>
    </row>
    <row r="78" spans="1:16"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c r="O78">
        <f t="shared" si="1"/>
        <v>0</v>
      </c>
      <c r="P78" t="str" cm="1">
        <f t="array" ref="P78">_xlfn.IFS(D78&lt;=40000,"1. Up to 40K",D78&lt;=60000,"2. 40-60K",D78&lt;=80000,"3. 60-80K",TRUE,"4. Over 80K")</f>
        <v>1. Up to 40K</v>
      </c>
    </row>
    <row r="79" spans="1:16" x14ac:dyDescent="0.25">
      <c r="A79">
        <v>27969</v>
      </c>
      <c r="B79" t="s">
        <v>50</v>
      </c>
      <c r="C79" t="s">
        <v>53</v>
      </c>
      <c r="D79" s="1">
        <v>80000</v>
      </c>
      <c r="E79">
        <v>0</v>
      </c>
      <c r="F79" t="s">
        <v>13</v>
      </c>
      <c r="G79" t="s">
        <v>21</v>
      </c>
      <c r="H79" t="s">
        <v>15</v>
      </c>
      <c r="I79">
        <v>2</v>
      </c>
      <c r="J79" t="s">
        <v>72</v>
      </c>
      <c r="K79" t="s">
        <v>24</v>
      </c>
      <c r="L79">
        <v>29</v>
      </c>
      <c r="M79" t="str" cm="1">
        <f t="array" ref="M79">_xlfn.IFS(L79&lt;31, "Young Adult", L79&lt;=55, "Middle Age", L79&gt;55, "Old")</f>
        <v>Young Adult</v>
      </c>
      <c r="N79" t="s">
        <v>15</v>
      </c>
      <c r="O79">
        <f t="shared" si="1"/>
        <v>1</v>
      </c>
      <c r="P79" t="str" cm="1">
        <f t="array" ref="P79">_xlfn.IFS(D79&lt;=40000,"1. Up to 40K",D79&lt;=60000,"2. 40-60K",D79&lt;=80000,"3. 60-80K",TRUE,"4. Over 80K")</f>
        <v>3. 60-80K</v>
      </c>
    </row>
    <row r="80" spans="1:16"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c r="O80">
        <f t="shared" si="1"/>
        <v>1</v>
      </c>
      <c r="P80" t="str" cm="1">
        <f t="array" ref="P80">_xlfn.IFS(D80&lt;=40000,"1. Up to 40K",D80&lt;=60000,"2. 40-60K",D80&lt;=80000,"3. 60-80K",TRUE,"4. Over 80K")</f>
        <v>3. 60-80K</v>
      </c>
    </row>
    <row r="81" spans="1:16"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c r="O81">
        <f t="shared" si="1"/>
        <v>1</v>
      </c>
      <c r="P81" t="str" cm="1">
        <f t="array" ref="P81">_xlfn.IFS(D81&lt;=40000,"1. Up to 40K",D81&lt;=60000,"2. 40-60K",D81&lt;=80000,"3. 60-80K",TRUE,"4. Over 80K")</f>
        <v>1. Up to 40K</v>
      </c>
    </row>
    <row r="82" spans="1:16"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c r="O82">
        <f t="shared" si="1"/>
        <v>1</v>
      </c>
      <c r="P82" t="str" cm="1">
        <f t="array" ref="P82">_xlfn.IFS(D82&lt;=40000,"1. Up to 40K",D82&lt;=60000,"2. 40-60K",D82&lt;=80000,"3. 60-80K",TRUE,"4. Over 80K")</f>
        <v>1. Up to 40K</v>
      </c>
    </row>
    <row r="83" spans="1:16"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c r="O83">
        <f t="shared" si="1"/>
        <v>0</v>
      </c>
      <c r="P83" t="str" cm="1">
        <f t="array" ref="P83">_xlfn.IFS(D83&lt;=40000,"1. Up to 40K",D83&lt;=60000,"2. 40-60K",D83&lt;=80000,"3. 60-80K",TRUE,"4. Over 80K")</f>
        <v>1. Up to 40K</v>
      </c>
    </row>
    <row r="84" spans="1:16"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c r="O84">
        <f t="shared" si="1"/>
        <v>1</v>
      </c>
      <c r="P84" t="str" cm="1">
        <f t="array" ref="P84">_xlfn.IFS(D84&lt;=40000,"1. Up to 40K",D84&lt;=60000,"2. 40-60K",D84&lt;=80000,"3. 60-80K",TRUE,"4. Over 80K")</f>
        <v>1. Up to 40K</v>
      </c>
    </row>
    <row r="85" spans="1:16"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c r="O85">
        <f t="shared" si="1"/>
        <v>0</v>
      </c>
      <c r="P85" t="str" cm="1">
        <f t="array" ref="P85">_xlfn.IFS(D85&lt;=40000,"1. Up to 40K",D85&lt;=60000,"2. 40-60K",D85&lt;=80000,"3. 60-80K",TRUE,"4. Over 80K")</f>
        <v>1. Up to 40K</v>
      </c>
    </row>
    <row r="86" spans="1:16"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c r="O86">
        <f t="shared" si="1"/>
        <v>1</v>
      </c>
      <c r="P86" t="str" cm="1">
        <f t="array" ref="P86">_xlfn.IFS(D86&lt;=40000,"1. Up to 40K",D86&lt;=60000,"2. 40-60K",D86&lt;=80000,"3. 60-80K",TRUE,"4. Over 80K")</f>
        <v>1. Up to 40K</v>
      </c>
    </row>
    <row r="87" spans="1:16"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c r="O87">
        <f t="shared" si="1"/>
        <v>1</v>
      </c>
      <c r="P87" t="str" cm="1">
        <f t="array" ref="P87">_xlfn.IFS(D87&lt;=40000,"1. Up to 40K",D87&lt;=60000,"2. 40-60K",D87&lt;=80000,"3. 60-80K",TRUE,"4. Over 80K")</f>
        <v>1. Up to 40K</v>
      </c>
    </row>
    <row r="88" spans="1:16"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c r="O88">
        <f t="shared" si="1"/>
        <v>1</v>
      </c>
      <c r="P88" t="str" cm="1">
        <f t="array" ref="P88">_xlfn.IFS(D88&lt;=40000,"1. Up to 40K",D88&lt;=60000,"2. 40-60K",D88&lt;=80000,"3. 60-80K",TRUE,"4. Over 80K")</f>
        <v>4. Over 80K</v>
      </c>
    </row>
    <row r="89" spans="1:16"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c r="O89">
        <f t="shared" si="1"/>
        <v>0</v>
      </c>
      <c r="P89" t="str" cm="1">
        <f t="array" ref="P89">_xlfn.IFS(D89&lt;=40000,"1. Up to 40K",D89&lt;=60000,"2. 40-60K",D89&lt;=80000,"3. 60-80K",TRUE,"4. Over 80K")</f>
        <v>3. 60-80K</v>
      </c>
    </row>
    <row r="90" spans="1:16"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c r="O90">
        <f t="shared" si="1"/>
        <v>0</v>
      </c>
      <c r="P90" t="str" cm="1">
        <f t="array" ref="P90">_xlfn.IFS(D90&lt;=40000,"1. Up to 40K",D90&lt;=60000,"2. 40-60K",D90&lt;=80000,"3. 60-80K",TRUE,"4. Over 80K")</f>
        <v>1. Up to 40K</v>
      </c>
    </row>
    <row r="91" spans="1:16"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c r="O91">
        <f t="shared" si="1"/>
        <v>1</v>
      </c>
      <c r="P91" t="str" cm="1">
        <f t="array" ref="P91">_xlfn.IFS(D91&lt;=40000,"1. Up to 40K",D91&lt;=60000,"2. 40-60K",D91&lt;=80000,"3. 60-80K",TRUE,"4. Over 80K")</f>
        <v>1. Up to 40K</v>
      </c>
    </row>
    <row r="92" spans="1:16"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c r="O92">
        <f t="shared" si="1"/>
        <v>1</v>
      </c>
      <c r="P92" t="str" cm="1">
        <f t="array" ref="P92">_xlfn.IFS(D92&lt;=40000,"1. Up to 40K",D92&lt;=60000,"2. 40-60K",D92&lt;=80000,"3. 60-80K",TRUE,"4. Over 80K")</f>
        <v>1. Up to 40K</v>
      </c>
    </row>
    <row r="93" spans="1:16"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c r="O93">
        <f t="shared" si="1"/>
        <v>1</v>
      </c>
      <c r="P93" t="str" cm="1">
        <f t="array" ref="P93">_xlfn.IFS(D93&lt;=40000,"1. Up to 40K",D93&lt;=60000,"2. 40-60K",D93&lt;=80000,"3. 60-80K",TRUE,"4. Over 80K")</f>
        <v>1. Up to 40K</v>
      </c>
    </row>
    <row r="94" spans="1:16"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c r="O94">
        <f t="shared" si="1"/>
        <v>1</v>
      </c>
      <c r="P94" t="str" cm="1">
        <f t="array" ref="P94">_xlfn.IFS(D94&lt;=40000,"1. Up to 40K",D94&lt;=60000,"2. 40-60K",D94&lt;=80000,"3. 60-80K",TRUE,"4. Over 80K")</f>
        <v>2. 40-60K</v>
      </c>
    </row>
    <row r="95" spans="1:16"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c r="O95">
        <f t="shared" si="1"/>
        <v>0</v>
      </c>
      <c r="P95" t="str" cm="1">
        <f t="array" ref="P95">_xlfn.IFS(D95&lt;=40000,"1. Up to 40K",D95&lt;=60000,"2. 40-60K",D95&lt;=80000,"3. 60-80K",TRUE,"4. Over 80K")</f>
        <v>1. Up to 40K</v>
      </c>
    </row>
    <row r="96" spans="1:16"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c r="O96">
        <f t="shared" si="1"/>
        <v>0</v>
      </c>
      <c r="P96" t="str" cm="1">
        <f t="array" ref="P96">_xlfn.IFS(D96&lt;=40000,"1. Up to 40K",D96&lt;=60000,"2. 40-60K",D96&lt;=80000,"3. 60-80K",TRUE,"4. Over 80K")</f>
        <v>1. Up to 40K</v>
      </c>
    </row>
    <row r="97" spans="1:16" x14ac:dyDescent="0.25">
      <c r="A97">
        <v>17197</v>
      </c>
      <c r="B97" t="s">
        <v>51</v>
      </c>
      <c r="C97" t="s">
        <v>52</v>
      </c>
      <c r="D97" s="1">
        <v>90000</v>
      </c>
      <c r="E97">
        <v>5</v>
      </c>
      <c r="F97" t="s">
        <v>19</v>
      </c>
      <c r="G97" t="s">
        <v>21</v>
      </c>
      <c r="H97" t="s">
        <v>15</v>
      </c>
      <c r="I97">
        <v>2</v>
      </c>
      <c r="J97" t="s">
        <v>72</v>
      </c>
      <c r="K97" t="s">
        <v>17</v>
      </c>
      <c r="L97">
        <v>62</v>
      </c>
      <c r="M97" t="str" cm="1">
        <f t="array" ref="M97">_xlfn.IFS(L97&lt;31, "Young Adult", L97&lt;=55, "Middle Age", L97&gt;55, "Old")</f>
        <v>Old</v>
      </c>
      <c r="N97" t="s">
        <v>18</v>
      </c>
      <c r="O97">
        <f t="shared" si="1"/>
        <v>0</v>
      </c>
      <c r="P97" t="str" cm="1">
        <f t="array" ref="P97">_xlfn.IFS(D97&lt;=40000,"1. Up to 40K",D97&lt;=60000,"2. 40-60K",D97&lt;=80000,"3. 60-80K",TRUE,"4. Over 80K")</f>
        <v>4. Over 80K</v>
      </c>
    </row>
    <row r="98" spans="1:16"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c r="O98">
        <f t="shared" si="1"/>
        <v>0</v>
      </c>
      <c r="P98" t="str" cm="1">
        <f t="array" ref="P98">_xlfn.IFS(D98&lt;=40000,"1. Up to 40K",D98&lt;=60000,"2. 40-60K",D98&lt;=80000,"3. 60-80K",TRUE,"4. Over 80K")</f>
        <v>1. Up to 40K</v>
      </c>
    </row>
    <row r="99" spans="1:16"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c r="O99">
        <f t="shared" si="1"/>
        <v>1</v>
      </c>
      <c r="P99" t="str" cm="1">
        <f t="array" ref="P99">_xlfn.IFS(D99&lt;=40000,"1. Up to 40K",D99&lt;=60000,"2. 40-60K",D99&lt;=80000,"3. 60-80K",TRUE,"4. Over 80K")</f>
        <v>1. Up to 40K</v>
      </c>
    </row>
    <row r="100" spans="1:16"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c r="O100">
        <f t="shared" si="1"/>
        <v>1</v>
      </c>
      <c r="P100" t="str" cm="1">
        <f t="array" ref="P100">_xlfn.IFS(D100&lt;=40000,"1. Up to 40K",D100&lt;=60000,"2. 40-60K",D100&lt;=80000,"3. 60-80K",TRUE,"4. Over 80K")</f>
        <v>1. Up to 40K</v>
      </c>
    </row>
    <row r="101" spans="1:16"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c r="O101">
        <f t="shared" si="1"/>
        <v>0</v>
      </c>
      <c r="P101" t="str" cm="1">
        <f t="array" ref="P101">_xlfn.IFS(D101&lt;=40000,"1. Up to 40K",D101&lt;=60000,"2. 40-60K",D101&lt;=80000,"3. 60-80K",TRUE,"4. Over 80K")</f>
        <v>1. Up to 40K</v>
      </c>
    </row>
    <row r="102" spans="1:16"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c r="O102">
        <f t="shared" si="1"/>
        <v>0</v>
      </c>
      <c r="P102" t="str" cm="1">
        <f t="array" ref="P102">_xlfn.IFS(D102&lt;=40000,"1. Up to 40K",D102&lt;=60000,"2. 40-60K",D102&lt;=80000,"3. 60-80K",TRUE,"4. Over 80K")</f>
        <v>1. Up to 40K</v>
      </c>
    </row>
    <row r="103" spans="1:16"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c r="O103">
        <f t="shared" si="1"/>
        <v>1</v>
      </c>
      <c r="P103" t="str" cm="1">
        <f t="array" ref="P103">_xlfn.IFS(D103&lt;=40000,"1. Up to 40K",D103&lt;=60000,"2. 40-60K",D103&lt;=80000,"3. 60-80K",TRUE,"4. Over 80K")</f>
        <v>2. 40-60K</v>
      </c>
    </row>
    <row r="104" spans="1:16"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c r="O104">
        <f t="shared" si="1"/>
        <v>0</v>
      </c>
      <c r="P104" t="str" cm="1">
        <f t="array" ref="P104">_xlfn.IFS(D104&lt;=40000,"1. Up to 40K",D104&lt;=60000,"2. 40-60K",D104&lt;=80000,"3. 60-80K",TRUE,"4. Over 80K")</f>
        <v>1. Up to 40K</v>
      </c>
    </row>
    <row r="105" spans="1:16"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c r="O105">
        <f t="shared" si="1"/>
        <v>0</v>
      </c>
      <c r="P105" t="str" cm="1">
        <f t="array" ref="P105">_xlfn.IFS(D105&lt;=40000,"1. Up to 40K",D105&lt;=60000,"2. 40-60K",D105&lt;=80000,"3. 60-80K",TRUE,"4. Over 80K")</f>
        <v>2. 40-60K</v>
      </c>
    </row>
    <row r="106" spans="1:16"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c r="O106">
        <f t="shared" si="1"/>
        <v>1</v>
      </c>
      <c r="P106" t="str" cm="1">
        <f t="array" ref="P106">_xlfn.IFS(D106&lt;=40000,"1. Up to 40K",D106&lt;=60000,"2. 40-60K",D106&lt;=80000,"3. 60-80K",TRUE,"4. Over 80K")</f>
        <v>3. 60-80K</v>
      </c>
    </row>
    <row r="107" spans="1:16"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c r="O107">
        <f t="shared" si="1"/>
        <v>0</v>
      </c>
      <c r="P107" t="str" cm="1">
        <f t="array" ref="P107">_xlfn.IFS(D107&lt;=40000,"1. Up to 40K",D107&lt;=60000,"2. 40-60K",D107&lt;=80000,"3. 60-80K",TRUE,"4. Over 80K")</f>
        <v>1. Up to 40K</v>
      </c>
    </row>
    <row r="108" spans="1:16"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c r="O108">
        <f t="shared" si="1"/>
        <v>1</v>
      </c>
      <c r="P108" t="str" cm="1">
        <f t="array" ref="P108">_xlfn.IFS(D108&lt;=40000,"1. Up to 40K",D108&lt;=60000,"2. 40-60K",D108&lt;=80000,"3. 60-80K",TRUE,"4. Over 80K")</f>
        <v>3. 60-80K</v>
      </c>
    </row>
    <row r="109" spans="1:16"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c r="O109">
        <f t="shared" si="1"/>
        <v>1</v>
      </c>
      <c r="P109" t="str" cm="1">
        <f t="array" ref="P109">_xlfn.IFS(D109&lt;=40000,"1. Up to 40K",D109&lt;=60000,"2. 40-60K",D109&lt;=80000,"3. 60-80K",TRUE,"4. Over 80K")</f>
        <v>1. Up to 40K</v>
      </c>
    </row>
    <row r="110" spans="1:16"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c r="O110">
        <f t="shared" si="1"/>
        <v>1</v>
      </c>
      <c r="P110" t="str" cm="1">
        <f t="array" ref="P110">_xlfn.IFS(D110&lt;=40000,"1. Up to 40K",D110&lt;=60000,"2. 40-60K",D110&lt;=80000,"3. 60-80K",TRUE,"4. Over 80K")</f>
        <v>1. Up to 40K</v>
      </c>
    </row>
    <row r="111" spans="1:16"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c r="O111">
        <f t="shared" si="1"/>
        <v>1</v>
      </c>
      <c r="P111" t="str" cm="1">
        <f t="array" ref="P111">_xlfn.IFS(D111&lt;=40000,"1. Up to 40K",D111&lt;=60000,"2. 40-60K",D111&lt;=80000,"3. 60-80K",TRUE,"4. Over 80K")</f>
        <v>1. Up to 40K</v>
      </c>
    </row>
    <row r="112" spans="1:16"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c r="O112">
        <f t="shared" si="1"/>
        <v>1</v>
      </c>
      <c r="P112" t="str" cm="1">
        <f t="array" ref="P112">_xlfn.IFS(D112&lt;=40000,"1. Up to 40K",D112&lt;=60000,"2. 40-60K",D112&lt;=80000,"3. 60-80K",TRUE,"4. Over 80K")</f>
        <v>1. Up to 40K</v>
      </c>
    </row>
    <row r="113" spans="1:16"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c r="O113">
        <f t="shared" si="1"/>
        <v>0</v>
      </c>
      <c r="P113" t="str" cm="1">
        <f t="array" ref="P113">_xlfn.IFS(D113&lt;=40000,"1. Up to 40K",D113&lt;=60000,"2. 40-60K",D113&lt;=80000,"3. 60-80K",TRUE,"4. Over 80K")</f>
        <v>3. 60-80K</v>
      </c>
    </row>
    <row r="114" spans="1:16"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c r="O114">
        <f t="shared" si="1"/>
        <v>0</v>
      </c>
      <c r="P114" t="str" cm="1">
        <f t="array" ref="P114">_xlfn.IFS(D114&lt;=40000,"1. Up to 40K",D114&lt;=60000,"2. 40-60K",D114&lt;=80000,"3. 60-80K",TRUE,"4. Over 80K")</f>
        <v>1. Up to 40K</v>
      </c>
    </row>
    <row r="115" spans="1:16"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c r="O115">
        <f t="shared" si="1"/>
        <v>1</v>
      </c>
      <c r="P115" t="str" cm="1">
        <f t="array" ref="P115">_xlfn.IFS(D115&lt;=40000,"1. Up to 40K",D115&lt;=60000,"2. 40-60K",D115&lt;=80000,"3. 60-80K",TRUE,"4. Over 80K")</f>
        <v>4. Over 80K</v>
      </c>
    </row>
    <row r="116" spans="1:16"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c r="O116">
        <f t="shared" si="1"/>
        <v>1</v>
      </c>
      <c r="P116" t="str" cm="1">
        <f t="array" ref="P116">_xlfn.IFS(D116&lt;=40000,"1. Up to 40K",D116&lt;=60000,"2. 40-60K",D116&lt;=80000,"3. 60-80K",TRUE,"4. Over 80K")</f>
        <v>1. Up to 40K</v>
      </c>
    </row>
    <row r="117" spans="1:16"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c r="O117">
        <f t="shared" si="1"/>
        <v>1</v>
      </c>
      <c r="P117" t="str" cm="1">
        <f t="array" ref="P117">_xlfn.IFS(D117&lt;=40000,"1. Up to 40K",D117&lt;=60000,"2. 40-60K",D117&lt;=80000,"3. 60-80K",TRUE,"4. Over 80K")</f>
        <v>1. Up to 40K</v>
      </c>
    </row>
    <row r="118" spans="1:16"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c r="O118">
        <f t="shared" si="1"/>
        <v>0</v>
      </c>
      <c r="P118" t="str" cm="1">
        <f t="array" ref="P118">_xlfn.IFS(D118&lt;=40000,"1. Up to 40K",D118&lt;=60000,"2. 40-60K",D118&lt;=80000,"3. 60-80K",TRUE,"4. Over 80K")</f>
        <v>1. Up to 40K</v>
      </c>
    </row>
    <row r="119" spans="1:16"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c r="O119">
        <f t="shared" si="1"/>
        <v>1</v>
      </c>
      <c r="P119" t="str" cm="1">
        <f t="array" ref="P119">_xlfn.IFS(D119&lt;=40000,"1. Up to 40K",D119&lt;=60000,"2. 40-60K",D119&lt;=80000,"3. 60-80K",TRUE,"4. Over 80K")</f>
        <v>1. Up to 40K</v>
      </c>
    </row>
    <row r="120" spans="1:16"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c r="O120">
        <f t="shared" si="1"/>
        <v>0</v>
      </c>
      <c r="P120" t="str" cm="1">
        <f t="array" ref="P120">_xlfn.IFS(D120&lt;=40000,"1. Up to 40K",D120&lt;=60000,"2. 40-60K",D120&lt;=80000,"3. 60-80K",TRUE,"4. Over 80K")</f>
        <v>3. 60-80K</v>
      </c>
    </row>
    <row r="121" spans="1:16"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c r="O121">
        <f t="shared" si="1"/>
        <v>0</v>
      </c>
      <c r="P121" t="str" cm="1">
        <f t="array" ref="P121">_xlfn.IFS(D121&lt;=40000,"1. Up to 40K",D121&lt;=60000,"2. 40-60K",D121&lt;=80000,"3. 60-80K",TRUE,"4. Over 80K")</f>
        <v>1. Up to 40K</v>
      </c>
    </row>
    <row r="122" spans="1:16"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c r="O122">
        <f t="shared" si="1"/>
        <v>1</v>
      </c>
      <c r="P122" t="str" cm="1">
        <f t="array" ref="P122">_xlfn.IFS(D122&lt;=40000,"1. Up to 40K",D122&lt;=60000,"2. 40-60K",D122&lt;=80000,"3. 60-80K",TRUE,"4. Over 80K")</f>
        <v>1. Up to 40K</v>
      </c>
    </row>
    <row r="123" spans="1:16"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c r="O123">
        <f t="shared" si="1"/>
        <v>0</v>
      </c>
      <c r="P123" t="str" cm="1">
        <f t="array" ref="P123">_xlfn.IFS(D123&lt;=40000,"1. Up to 40K",D123&lt;=60000,"2. 40-60K",D123&lt;=80000,"3. 60-80K",TRUE,"4. Over 80K")</f>
        <v>4. Over 80K</v>
      </c>
    </row>
    <row r="124" spans="1:16" x14ac:dyDescent="0.25">
      <c r="A124">
        <v>12344</v>
      </c>
      <c r="B124" t="s">
        <v>51</v>
      </c>
      <c r="C124" t="s">
        <v>52</v>
      </c>
      <c r="D124" s="1">
        <v>80000</v>
      </c>
      <c r="E124">
        <v>0</v>
      </c>
      <c r="F124" t="s">
        <v>13</v>
      </c>
      <c r="G124" t="s">
        <v>21</v>
      </c>
      <c r="H124" t="s">
        <v>18</v>
      </c>
      <c r="I124">
        <v>3</v>
      </c>
      <c r="J124" t="s">
        <v>72</v>
      </c>
      <c r="K124" t="s">
        <v>24</v>
      </c>
      <c r="L124">
        <v>31</v>
      </c>
      <c r="M124" t="str" cm="1">
        <f t="array" ref="M124">_xlfn.IFS(L124&lt;31, "Young Adult", L124&lt;=55, "Middle Age", L124&gt;55, "Old")</f>
        <v>Middle Age</v>
      </c>
      <c r="N124" t="s">
        <v>18</v>
      </c>
      <c r="O124">
        <f t="shared" si="1"/>
        <v>0</v>
      </c>
      <c r="P124" t="str" cm="1">
        <f t="array" ref="P124">_xlfn.IFS(D124&lt;=40000,"1. Up to 40K",D124&lt;=60000,"2. 40-60K",D124&lt;=80000,"3. 60-80K",TRUE,"4. Over 80K")</f>
        <v>3. 60-80K</v>
      </c>
    </row>
    <row r="125" spans="1:16"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c r="O125">
        <f t="shared" si="1"/>
        <v>0</v>
      </c>
      <c r="P125" t="str" cm="1">
        <f t="array" ref="P125">_xlfn.IFS(D125&lt;=40000,"1. Up to 40K",D125&lt;=60000,"2. 40-60K",D125&lt;=80000,"3. 60-80K",TRUE,"4. Over 80K")</f>
        <v>4. Over 80K</v>
      </c>
    </row>
    <row r="126" spans="1:16"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c r="O126">
        <f t="shared" si="1"/>
        <v>1</v>
      </c>
      <c r="P126" t="str" cm="1">
        <f t="array" ref="P126">_xlfn.IFS(D126&lt;=40000,"1. Up to 40K",D126&lt;=60000,"2. 40-60K",D126&lt;=80000,"3. 60-80K",TRUE,"4. Over 80K")</f>
        <v>1. Up to 40K</v>
      </c>
    </row>
    <row r="127" spans="1:16"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c r="O127">
        <f t="shared" si="1"/>
        <v>0</v>
      </c>
      <c r="P127" t="str" cm="1">
        <f t="array" ref="P127">_xlfn.IFS(D127&lt;=40000,"1. Up to 40K",D127&lt;=60000,"2. 40-60K",D127&lt;=80000,"3. 60-80K",TRUE,"4. Over 80K")</f>
        <v>3. 60-80K</v>
      </c>
    </row>
    <row r="128" spans="1:16"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c r="O128">
        <f t="shared" si="1"/>
        <v>0</v>
      </c>
      <c r="P128" t="str" cm="1">
        <f t="array" ref="P128">_xlfn.IFS(D128&lt;=40000,"1. Up to 40K",D128&lt;=60000,"2. 40-60K",D128&lt;=80000,"3. 60-80K",TRUE,"4. Over 80K")</f>
        <v>1. Up to 40K</v>
      </c>
    </row>
    <row r="129" spans="1:16"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c r="O129">
        <f t="shared" si="1"/>
        <v>0</v>
      </c>
      <c r="P129" t="str" cm="1">
        <f t="array" ref="P129">_xlfn.IFS(D129&lt;=40000,"1. Up to 40K",D129&lt;=60000,"2. 40-60K",D129&lt;=80000,"3. 60-80K",TRUE,"4. Over 80K")</f>
        <v>1. Up to 40K</v>
      </c>
    </row>
    <row r="130" spans="1:16"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c r="O130">
        <f t="shared" si="1"/>
        <v>1</v>
      </c>
      <c r="P130" t="str" cm="1">
        <f t="array" ref="P130">_xlfn.IFS(D130&lt;=40000,"1. Up to 40K",D130&lt;=60000,"2. 40-60K",D130&lt;=80000,"3. 60-80K",TRUE,"4. Over 80K")</f>
        <v>1. Up to 40K</v>
      </c>
    </row>
    <row r="131" spans="1:16"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c r="O131">
        <f t="shared" ref="O131:O194" si="2">IF(N131="Yes",1,0)</f>
        <v>1</v>
      </c>
      <c r="P131" t="str" cm="1">
        <f t="array" ref="P131">_xlfn.IFS(D131&lt;=40000,"1. Up to 40K",D131&lt;=60000,"2. 40-60K",D131&lt;=80000,"3. 60-80K",TRUE,"4. Over 80K")</f>
        <v>1. Up to 40K</v>
      </c>
    </row>
    <row r="132" spans="1:16"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c r="O132">
        <f t="shared" si="2"/>
        <v>0</v>
      </c>
      <c r="P132" t="str" cm="1">
        <f t="array" ref="P132">_xlfn.IFS(D132&lt;=40000,"1. Up to 40K",D132&lt;=60000,"2. 40-60K",D132&lt;=80000,"3. 60-80K",TRUE,"4. Over 80K")</f>
        <v>2. 40-60K</v>
      </c>
    </row>
    <row r="133" spans="1:16"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c r="O133">
        <f t="shared" si="2"/>
        <v>1</v>
      </c>
      <c r="P133" t="str" cm="1">
        <f t="array" ref="P133">_xlfn.IFS(D133&lt;=40000,"1. Up to 40K",D133&lt;=60000,"2. 40-60K",D133&lt;=80000,"3. 60-80K",TRUE,"4. Over 80K")</f>
        <v>4. Over 80K</v>
      </c>
    </row>
    <row r="134" spans="1:16"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c r="O134">
        <f t="shared" si="2"/>
        <v>1</v>
      </c>
      <c r="P134" t="str" cm="1">
        <f t="array" ref="P134">_xlfn.IFS(D134&lt;=40000,"1. Up to 40K",D134&lt;=60000,"2. 40-60K",D134&lt;=80000,"3. 60-80K",TRUE,"4. Over 80K")</f>
        <v>1. Up to 40K</v>
      </c>
    </row>
    <row r="135" spans="1:16"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c r="O135">
        <f t="shared" si="2"/>
        <v>1</v>
      </c>
      <c r="P135" t="str" cm="1">
        <f t="array" ref="P135">_xlfn.IFS(D135&lt;=40000,"1. Up to 40K",D135&lt;=60000,"2. 40-60K",D135&lt;=80000,"3. 60-80K",TRUE,"4. Over 80K")</f>
        <v>1. Up to 40K</v>
      </c>
    </row>
    <row r="136" spans="1:16"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c r="O136">
        <f t="shared" si="2"/>
        <v>0</v>
      </c>
      <c r="P136" t="str" cm="1">
        <f t="array" ref="P136">_xlfn.IFS(D136&lt;=40000,"1. Up to 40K",D136&lt;=60000,"2. 40-60K",D136&lt;=80000,"3. 60-80K",TRUE,"4. Over 80K")</f>
        <v>1. Up to 40K</v>
      </c>
    </row>
    <row r="137" spans="1:16"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c r="O137">
        <f t="shared" si="2"/>
        <v>0</v>
      </c>
      <c r="P137" t="str" cm="1">
        <f t="array" ref="P137">_xlfn.IFS(D137&lt;=40000,"1. Up to 40K",D137&lt;=60000,"2. 40-60K",D137&lt;=80000,"3. 60-80K",TRUE,"4. Over 80K")</f>
        <v>1. Up to 40K</v>
      </c>
    </row>
    <row r="138" spans="1:16"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c r="O138">
        <f t="shared" si="2"/>
        <v>1</v>
      </c>
      <c r="P138" t="str" cm="1">
        <f t="array" ref="P138">_xlfn.IFS(D138&lt;=40000,"1. Up to 40K",D138&lt;=60000,"2. 40-60K",D138&lt;=80000,"3. 60-80K",TRUE,"4. Over 80K")</f>
        <v>1. Up to 40K</v>
      </c>
    </row>
    <row r="139" spans="1:16"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c r="O139">
        <f t="shared" si="2"/>
        <v>0</v>
      </c>
      <c r="P139" t="str" cm="1">
        <f t="array" ref="P139">_xlfn.IFS(D139&lt;=40000,"1. Up to 40K",D139&lt;=60000,"2. 40-60K",D139&lt;=80000,"3. 60-80K",TRUE,"4. Over 80K")</f>
        <v>1. Up to 40K</v>
      </c>
    </row>
    <row r="140" spans="1:16"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c r="O140">
        <f t="shared" si="2"/>
        <v>1</v>
      </c>
      <c r="P140" t="str" cm="1">
        <f t="array" ref="P140">_xlfn.IFS(D140&lt;=40000,"1. Up to 40K",D140&lt;=60000,"2. 40-60K",D140&lt;=80000,"3. 60-80K",TRUE,"4. Over 80K")</f>
        <v>1. Up to 40K</v>
      </c>
    </row>
    <row r="141" spans="1:16"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c r="O141">
        <f t="shared" si="2"/>
        <v>1</v>
      </c>
      <c r="P141" t="str" cm="1">
        <f t="array" ref="P141">_xlfn.IFS(D141&lt;=40000,"1. Up to 40K",D141&lt;=60000,"2. 40-60K",D141&lt;=80000,"3. 60-80K",TRUE,"4. Over 80K")</f>
        <v>1. Up to 40K</v>
      </c>
    </row>
    <row r="142" spans="1:16"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c r="O142">
        <f t="shared" si="2"/>
        <v>1</v>
      </c>
      <c r="P142" t="str" cm="1">
        <f t="array" ref="P142">_xlfn.IFS(D142&lt;=40000,"1. Up to 40K",D142&lt;=60000,"2. 40-60K",D142&lt;=80000,"3. 60-80K",TRUE,"4. Over 80K")</f>
        <v>1. Up to 40K</v>
      </c>
    </row>
    <row r="143" spans="1:16"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c r="O143">
        <f t="shared" si="2"/>
        <v>1</v>
      </c>
      <c r="P143" t="str" cm="1">
        <f t="array" ref="P143">_xlfn.IFS(D143&lt;=40000,"1. Up to 40K",D143&lt;=60000,"2. 40-60K",D143&lt;=80000,"3. 60-80K",TRUE,"4. Over 80K")</f>
        <v>1. Up to 40K</v>
      </c>
    </row>
    <row r="144" spans="1:16"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c r="O144">
        <f t="shared" si="2"/>
        <v>1</v>
      </c>
      <c r="P144" t="str" cm="1">
        <f t="array" ref="P144">_xlfn.IFS(D144&lt;=40000,"1. Up to 40K",D144&lt;=60000,"2. 40-60K",D144&lt;=80000,"3. 60-80K",TRUE,"4. Over 80K")</f>
        <v>1. Up to 40K</v>
      </c>
    </row>
    <row r="145" spans="1:16" x14ac:dyDescent="0.25">
      <c r="A145">
        <v>16614</v>
      </c>
      <c r="B145" t="s">
        <v>50</v>
      </c>
      <c r="C145" t="s">
        <v>52</v>
      </c>
      <c r="D145" s="1">
        <v>80000</v>
      </c>
      <c r="E145">
        <v>0</v>
      </c>
      <c r="F145" t="s">
        <v>13</v>
      </c>
      <c r="G145" t="s">
        <v>21</v>
      </c>
      <c r="H145" t="s">
        <v>15</v>
      </c>
      <c r="I145">
        <v>3</v>
      </c>
      <c r="J145" t="s">
        <v>72</v>
      </c>
      <c r="K145" t="s">
        <v>24</v>
      </c>
      <c r="L145">
        <v>32</v>
      </c>
      <c r="M145" t="str" cm="1">
        <f t="array" ref="M145">_xlfn.IFS(L145&lt;31, "Young Adult", L145&lt;=55, "Middle Age", L145&gt;55, "Old")</f>
        <v>Middle Age</v>
      </c>
      <c r="N145" t="s">
        <v>18</v>
      </c>
      <c r="O145">
        <f t="shared" si="2"/>
        <v>0</v>
      </c>
      <c r="P145" t="str" cm="1">
        <f t="array" ref="P145">_xlfn.IFS(D145&lt;=40000,"1. Up to 40K",D145&lt;=60000,"2. 40-60K",D145&lt;=80000,"3. 60-80K",TRUE,"4. Over 80K")</f>
        <v>3. 60-80K</v>
      </c>
    </row>
    <row r="146" spans="1:16"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c r="O146">
        <f t="shared" si="2"/>
        <v>1</v>
      </c>
      <c r="P146" t="str" cm="1">
        <f t="array" ref="P146">_xlfn.IFS(D146&lt;=40000,"1. Up to 40K",D146&lt;=60000,"2. 40-60K",D146&lt;=80000,"3. 60-80K",TRUE,"4. Over 80K")</f>
        <v>1. Up to 40K</v>
      </c>
    </row>
    <row r="147" spans="1:16"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c r="O147">
        <f t="shared" si="2"/>
        <v>0</v>
      </c>
      <c r="P147" t="str" cm="1">
        <f t="array" ref="P147">_xlfn.IFS(D147&lt;=40000,"1. Up to 40K",D147&lt;=60000,"2. 40-60K",D147&lt;=80000,"3. 60-80K",TRUE,"4. Over 80K")</f>
        <v>1. Up to 40K</v>
      </c>
    </row>
    <row r="148" spans="1:16"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c r="O148">
        <f t="shared" si="2"/>
        <v>1</v>
      </c>
      <c r="P148" t="str" cm="1">
        <f t="array" ref="P148">_xlfn.IFS(D148&lt;=40000,"1. Up to 40K",D148&lt;=60000,"2. 40-60K",D148&lt;=80000,"3. 60-80K",TRUE,"4. Over 80K")</f>
        <v>1. Up to 40K</v>
      </c>
    </row>
    <row r="149" spans="1:16"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c r="O149">
        <f t="shared" si="2"/>
        <v>1</v>
      </c>
      <c r="P149" t="str" cm="1">
        <f t="array" ref="P149">_xlfn.IFS(D149&lt;=40000,"1. Up to 40K",D149&lt;=60000,"2. 40-60K",D149&lt;=80000,"3. 60-80K",TRUE,"4. Over 80K")</f>
        <v>1. Up to 40K</v>
      </c>
    </row>
    <row r="150" spans="1:16"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c r="O150">
        <f t="shared" si="2"/>
        <v>0</v>
      </c>
      <c r="P150" t="str" cm="1">
        <f t="array" ref="P150">_xlfn.IFS(D150&lt;=40000,"1. Up to 40K",D150&lt;=60000,"2. 40-60K",D150&lt;=80000,"3. 60-80K",TRUE,"4. Over 80K")</f>
        <v>1. Up to 40K</v>
      </c>
    </row>
    <row r="151" spans="1:16"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c r="O151">
        <f t="shared" si="2"/>
        <v>0</v>
      </c>
      <c r="P151" t="str" cm="1">
        <f t="array" ref="P151">_xlfn.IFS(D151&lt;=40000,"1. Up to 40K",D151&lt;=60000,"2. 40-60K",D151&lt;=80000,"3. 60-80K",TRUE,"4. Over 80K")</f>
        <v>1. Up to 40K</v>
      </c>
    </row>
    <row r="152" spans="1:16"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c r="O152">
        <f t="shared" si="2"/>
        <v>1</v>
      </c>
      <c r="P152" t="str" cm="1">
        <f t="array" ref="P152">_xlfn.IFS(D152&lt;=40000,"1. Up to 40K",D152&lt;=60000,"2. 40-60K",D152&lt;=80000,"3. 60-80K",TRUE,"4. Over 80K")</f>
        <v>2. 40-60K</v>
      </c>
    </row>
    <row r="153" spans="1:16"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c r="O153">
        <f t="shared" si="2"/>
        <v>0</v>
      </c>
      <c r="P153" t="str" cm="1">
        <f t="array" ref="P153">_xlfn.IFS(D153&lt;=40000,"1. Up to 40K",D153&lt;=60000,"2. 40-60K",D153&lt;=80000,"3. 60-80K",TRUE,"4. Over 80K")</f>
        <v>4. Over 80K</v>
      </c>
    </row>
    <row r="154" spans="1:16"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c r="O154">
        <f t="shared" si="2"/>
        <v>0</v>
      </c>
      <c r="P154" t="str" cm="1">
        <f t="array" ref="P154">_xlfn.IFS(D154&lt;=40000,"1. Up to 40K",D154&lt;=60000,"2. 40-60K",D154&lt;=80000,"3. 60-80K",TRUE,"4. Over 80K")</f>
        <v>1. Up to 40K</v>
      </c>
    </row>
    <row r="155" spans="1:16"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c r="O155">
        <f t="shared" si="2"/>
        <v>0</v>
      </c>
      <c r="P155" t="str" cm="1">
        <f t="array" ref="P155">_xlfn.IFS(D155&lt;=40000,"1. Up to 40K",D155&lt;=60000,"2. 40-60K",D155&lt;=80000,"3. 60-80K",TRUE,"4. Over 80K")</f>
        <v>4. Over 80K</v>
      </c>
    </row>
    <row r="156" spans="1:16"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c r="O156">
        <f t="shared" si="2"/>
        <v>0</v>
      </c>
      <c r="P156" t="str" cm="1">
        <f t="array" ref="P156">_xlfn.IFS(D156&lt;=40000,"1. Up to 40K",D156&lt;=60000,"2. 40-60K",D156&lt;=80000,"3. 60-80K",TRUE,"4. Over 80K")</f>
        <v>3. 60-80K</v>
      </c>
    </row>
    <row r="157" spans="1:16"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c r="O157">
        <f t="shared" si="2"/>
        <v>1</v>
      </c>
      <c r="P157" t="str" cm="1">
        <f t="array" ref="P157">_xlfn.IFS(D157&lt;=40000,"1. Up to 40K",D157&lt;=60000,"2. 40-60K",D157&lt;=80000,"3. 60-80K",TRUE,"4. Over 80K")</f>
        <v>1. Up to 40K</v>
      </c>
    </row>
    <row r="158" spans="1:16"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c r="O158">
        <f t="shared" si="2"/>
        <v>0</v>
      </c>
      <c r="P158" t="str" cm="1">
        <f t="array" ref="P158">_xlfn.IFS(D158&lt;=40000,"1. Up to 40K",D158&lt;=60000,"2. 40-60K",D158&lt;=80000,"3. 60-80K",TRUE,"4. Over 80K")</f>
        <v>4. Over 80K</v>
      </c>
    </row>
    <row r="159" spans="1:16"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c r="O159">
        <f t="shared" si="2"/>
        <v>0</v>
      </c>
      <c r="P159" t="str" cm="1">
        <f t="array" ref="P159">_xlfn.IFS(D159&lt;=40000,"1. Up to 40K",D159&lt;=60000,"2. 40-60K",D159&lt;=80000,"3. 60-80K",TRUE,"4. Over 80K")</f>
        <v>1. Up to 40K</v>
      </c>
    </row>
    <row r="160" spans="1:16"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c r="O160">
        <f t="shared" si="2"/>
        <v>1</v>
      </c>
      <c r="P160" t="str" cm="1">
        <f t="array" ref="P160">_xlfn.IFS(D160&lt;=40000,"1. Up to 40K",D160&lt;=60000,"2. 40-60K",D160&lt;=80000,"3. 60-80K",TRUE,"4. Over 80K")</f>
        <v>1. Up to 40K</v>
      </c>
    </row>
    <row r="161" spans="1:16"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c r="O161">
        <f t="shared" si="2"/>
        <v>0</v>
      </c>
      <c r="P161" t="str" cm="1">
        <f t="array" ref="P161">_xlfn.IFS(D161&lt;=40000,"1. Up to 40K",D161&lt;=60000,"2. 40-60K",D161&lt;=80000,"3. 60-80K",TRUE,"4. Over 80K")</f>
        <v>1. Up to 40K</v>
      </c>
    </row>
    <row r="162" spans="1:16"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c r="O162">
        <f t="shared" si="2"/>
        <v>1</v>
      </c>
      <c r="P162" t="str" cm="1">
        <f t="array" ref="P162">_xlfn.IFS(D162&lt;=40000,"1. Up to 40K",D162&lt;=60000,"2. 40-60K",D162&lt;=80000,"3. 60-80K",TRUE,"4. Over 80K")</f>
        <v>2. 40-60K</v>
      </c>
    </row>
    <row r="163" spans="1:16"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c r="O163">
        <f t="shared" si="2"/>
        <v>1</v>
      </c>
      <c r="P163" t="str" cm="1">
        <f t="array" ref="P163">_xlfn.IFS(D163&lt;=40000,"1. Up to 40K",D163&lt;=60000,"2. 40-60K",D163&lt;=80000,"3. 60-80K",TRUE,"4. Over 80K")</f>
        <v>1. Up to 40K</v>
      </c>
    </row>
    <row r="164" spans="1:16"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c r="O164">
        <f t="shared" si="2"/>
        <v>1</v>
      </c>
      <c r="P164" t="str" cm="1">
        <f t="array" ref="P164">_xlfn.IFS(D164&lt;=40000,"1. Up to 40K",D164&lt;=60000,"2. 40-60K",D164&lt;=80000,"3. 60-80K",TRUE,"4. Over 80K")</f>
        <v>2. 40-60K</v>
      </c>
    </row>
    <row r="165" spans="1:16"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c r="O165">
        <f t="shared" si="2"/>
        <v>0</v>
      </c>
      <c r="P165" t="str" cm="1">
        <f t="array" ref="P165">_xlfn.IFS(D165&lt;=40000,"1. Up to 40K",D165&lt;=60000,"2. 40-60K",D165&lt;=80000,"3. 60-80K",TRUE,"4. Over 80K")</f>
        <v>1. Up to 40K</v>
      </c>
    </row>
    <row r="166" spans="1:16"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c r="O166">
        <f t="shared" si="2"/>
        <v>1</v>
      </c>
      <c r="P166" t="str" cm="1">
        <f t="array" ref="P166">_xlfn.IFS(D166&lt;=40000,"1. Up to 40K",D166&lt;=60000,"2. 40-60K",D166&lt;=80000,"3. 60-80K",TRUE,"4. Over 80K")</f>
        <v>1. Up to 40K</v>
      </c>
    </row>
    <row r="167" spans="1:16"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c r="O167">
        <f t="shared" si="2"/>
        <v>0</v>
      </c>
      <c r="P167" t="str" cm="1">
        <f t="array" ref="P167">_xlfn.IFS(D167&lt;=40000,"1. Up to 40K",D167&lt;=60000,"2. 40-60K",D167&lt;=80000,"3. 60-80K",TRUE,"4. Over 80K")</f>
        <v>1. Up to 40K</v>
      </c>
    </row>
    <row r="168" spans="1:16"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c r="O168">
        <f t="shared" si="2"/>
        <v>1</v>
      </c>
      <c r="P168" t="str" cm="1">
        <f t="array" ref="P168">_xlfn.IFS(D168&lt;=40000,"1. Up to 40K",D168&lt;=60000,"2. 40-60K",D168&lt;=80000,"3. 60-80K",TRUE,"4. Over 80K")</f>
        <v>4. Over 80K</v>
      </c>
    </row>
    <row r="169" spans="1:16" x14ac:dyDescent="0.25">
      <c r="A169">
        <v>14233</v>
      </c>
      <c r="B169" t="s">
        <v>51</v>
      </c>
      <c r="C169" t="s">
        <v>53</v>
      </c>
      <c r="D169" s="1">
        <v>100000</v>
      </c>
      <c r="E169">
        <v>0</v>
      </c>
      <c r="F169" t="s">
        <v>27</v>
      </c>
      <c r="G169" t="s">
        <v>28</v>
      </c>
      <c r="H169" t="s">
        <v>15</v>
      </c>
      <c r="I169">
        <v>3</v>
      </c>
      <c r="J169" t="s">
        <v>72</v>
      </c>
      <c r="K169" t="s">
        <v>24</v>
      </c>
      <c r="L169">
        <v>35</v>
      </c>
      <c r="M169" t="str" cm="1">
        <f t="array" ref="M169">_xlfn.IFS(L169&lt;31, "Young Adult", L169&lt;=55, "Middle Age", L169&gt;55, "Old")</f>
        <v>Middle Age</v>
      </c>
      <c r="N169" t="s">
        <v>18</v>
      </c>
      <c r="O169">
        <f t="shared" si="2"/>
        <v>0</v>
      </c>
      <c r="P169" t="str" cm="1">
        <f t="array" ref="P169">_xlfn.IFS(D169&lt;=40000,"1. Up to 40K",D169&lt;=60000,"2. 40-60K",D169&lt;=80000,"3. 60-80K",TRUE,"4. Over 80K")</f>
        <v>4. Over 80K</v>
      </c>
    </row>
    <row r="170" spans="1:16"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c r="O170">
        <f t="shared" si="2"/>
        <v>1</v>
      </c>
      <c r="P170" t="str" cm="1">
        <f t="array" ref="P170">_xlfn.IFS(D170&lt;=40000,"1. Up to 40K",D170&lt;=60000,"2. 40-60K",D170&lt;=80000,"3. 60-80K",TRUE,"4. Over 80K")</f>
        <v>3. 60-80K</v>
      </c>
    </row>
    <row r="171" spans="1:16"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c r="O171">
        <f t="shared" si="2"/>
        <v>0</v>
      </c>
      <c r="P171" t="str" cm="1">
        <f t="array" ref="P171">_xlfn.IFS(D171&lt;=40000,"1. Up to 40K",D171&lt;=60000,"2. 40-60K",D171&lt;=80000,"3. 60-80K",TRUE,"4. Over 80K")</f>
        <v>1. Up to 40K</v>
      </c>
    </row>
    <row r="172" spans="1:16"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c r="O172">
        <f t="shared" si="2"/>
        <v>1</v>
      </c>
      <c r="P172" t="str" cm="1">
        <f t="array" ref="P172">_xlfn.IFS(D172&lt;=40000,"1. Up to 40K",D172&lt;=60000,"2. 40-60K",D172&lt;=80000,"3. 60-80K",TRUE,"4. Over 80K")</f>
        <v>4. Over 80K</v>
      </c>
    </row>
    <row r="173" spans="1:16"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c r="O173">
        <f t="shared" si="2"/>
        <v>0</v>
      </c>
      <c r="P173" t="str" cm="1">
        <f t="array" ref="P173">_xlfn.IFS(D173&lt;=40000,"1. Up to 40K",D173&lt;=60000,"2. 40-60K",D173&lt;=80000,"3. 60-80K",TRUE,"4. Over 80K")</f>
        <v>3. 60-80K</v>
      </c>
    </row>
    <row r="174" spans="1:16"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c r="O174">
        <f t="shared" si="2"/>
        <v>0</v>
      </c>
      <c r="P174" t="str" cm="1">
        <f t="array" ref="P174">_xlfn.IFS(D174&lt;=40000,"1. Up to 40K",D174&lt;=60000,"2. 40-60K",D174&lt;=80000,"3. 60-80K",TRUE,"4. Over 80K")</f>
        <v>1. Up to 40K</v>
      </c>
    </row>
    <row r="175" spans="1:16"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c r="O175">
        <f t="shared" si="2"/>
        <v>0</v>
      </c>
      <c r="P175" t="str" cm="1">
        <f t="array" ref="P175">_xlfn.IFS(D175&lt;=40000,"1. Up to 40K",D175&lt;=60000,"2. 40-60K",D175&lt;=80000,"3. 60-80K",TRUE,"4. Over 80K")</f>
        <v>1. Up to 40K</v>
      </c>
    </row>
    <row r="176" spans="1:16"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c r="O176">
        <f t="shared" si="2"/>
        <v>1</v>
      </c>
      <c r="P176" t="str" cm="1">
        <f t="array" ref="P176">_xlfn.IFS(D176&lt;=40000,"1. Up to 40K",D176&lt;=60000,"2. 40-60K",D176&lt;=80000,"3. 60-80K",TRUE,"4. Over 80K")</f>
        <v>2. 40-60K</v>
      </c>
    </row>
    <row r="177" spans="1:16"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c r="O177">
        <f t="shared" si="2"/>
        <v>1</v>
      </c>
      <c r="P177" t="str" cm="1">
        <f t="array" ref="P177">_xlfn.IFS(D177&lt;=40000,"1. Up to 40K",D177&lt;=60000,"2. 40-60K",D177&lt;=80000,"3. 60-80K",TRUE,"4. Over 80K")</f>
        <v>3. 60-80K</v>
      </c>
    </row>
    <row r="178" spans="1:16"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c r="O178">
        <f t="shared" si="2"/>
        <v>1</v>
      </c>
      <c r="P178" t="str" cm="1">
        <f t="array" ref="P178">_xlfn.IFS(D178&lt;=40000,"1. Up to 40K",D178&lt;=60000,"2. 40-60K",D178&lt;=80000,"3. 60-80K",TRUE,"4. Over 80K")</f>
        <v>1. Up to 40K</v>
      </c>
    </row>
    <row r="179" spans="1:16"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c r="O179">
        <f t="shared" si="2"/>
        <v>0</v>
      </c>
      <c r="P179" t="str" cm="1">
        <f t="array" ref="P179">_xlfn.IFS(D179&lt;=40000,"1. Up to 40K",D179&lt;=60000,"2. 40-60K",D179&lt;=80000,"3. 60-80K",TRUE,"4. Over 80K")</f>
        <v>4. Over 80K</v>
      </c>
    </row>
    <row r="180" spans="1:16" x14ac:dyDescent="0.25">
      <c r="A180">
        <v>14191</v>
      </c>
      <c r="B180" t="s">
        <v>50</v>
      </c>
      <c r="C180" t="s">
        <v>53</v>
      </c>
      <c r="D180" s="1">
        <v>160000</v>
      </c>
      <c r="E180">
        <v>4</v>
      </c>
      <c r="F180" t="s">
        <v>19</v>
      </c>
      <c r="G180" t="s">
        <v>21</v>
      </c>
      <c r="H180" t="s">
        <v>18</v>
      </c>
      <c r="I180">
        <v>2</v>
      </c>
      <c r="J180" t="s">
        <v>72</v>
      </c>
      <c r="K180" t="s">
        <v>17</v>
      </c>
      <c r="L180">
        <v>55</v>
      </c>
      <c r="M180" t="str" cm="1">
        <f t="array" ref="M180">_xlfn.IFS(L180&lt;31, "Young Adult", L180&lt;=55, "Middle Age", L180&gt;55, "Old")</f>
        <v>Middle Age</v>
      </c>
      <c r="N180" t="s">
        <v>15</v>
      </c>
      <c r="O180">
        <f t="shared" si="2"/>
        <v>1</v>
      </c>
      <c r="P180" t="str" cm="1">
        <f t="array" ref="P180">_xlfn.IFS(D180&lt;=40000,"1. Up to 40K",D180&lt;=60000,"2. 40-60K",D180&lt;=80000,"3. 60-80K",TRUE,"4. Over 80K")</f>
        <v>4. Over 80K</v>
      </c>
    </row>
    <row r="181" spans="1:16"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c r="O181">
        <f t="shared" si="2"/>
        <v>1</v>
      </c>
      <c r="P181" t="str" cm="1">
        <f t="array" ref="P181">_xlfn.IFS(D181&lt;=40000,"1. Up to 40K",D181&lt;=60000,"2. 40-60K",D181&lt;=80000,"3. 60-80K",TRUE,"4. Over 80K")</f>
        <v>1. Up to 40K</v>
      </c>
    </row>
    <row r="182" spans="1:16"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c r="O182">
        <f t="shared" si="2"/>
        <v>0</v>
      </c>
      <c r="P182" t="str" cm="1">
        <f t="array" ref="P182">_xlfn.IFS(D182&lt;=40000,"1. Up to 40K",D182&lt;=60000,"2. 40-60K",D182&lt;=80000,"3. 60-80K",TRUE,"4. Over 80K")</f>
        <v>1. Up to 40K</v>
      </c>
    </row>
    <row r="183" spans="1:16"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c r="O183">
        <f t="shared" si="2"/>
        <v>1</v>
      </c>
      <c r="P183" t="str" cm="1">
        <f t="array" ref="P183">_xlfn.IFS(D183&lt;=40000,"1. Up to 40K",D183&lt;=60000,"2. 40-60K",D183&lt;=80000,"3. 60-80K",TRUE,"4. Over 80K")</f>
        <v>1. Up to 40K</v>
      </c>
    </row>
    <row r="184" spans="1:16"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c r="O184">
        <f t="shared" si="2"/>
        <v>0</v>
      </c>
      <c r="P184" t="str" cm="1">
        <f t="array" ref="P184">_xlfn.IFS(D184&lt;=40000,"1. Up to 40K",D184&lt;=60000,"2. 40-60K",D184&lt;=80000,"3. 60-80K",TRUE,"4. Over 80K")</f>
        <v>1. Up to 40K</v>
      </c>
    </row>
    <row r="185" spans="1:16"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c r="O185">
        <f t="shared" si="2"/>
        <v>1</v>
      </c>
      <c r="P185" t="str" cm="1">
        <f t="array" ref="P185">_xlfn.IFS(D185&lt;=40000,"1. Up to 40K",D185&lt;=60000,"2. 40-60K",D185&lt;=80000,"3. 60-80K",TRUE,"4. Over 80K")</f>
        <v>1. Up to 40K</v>
      </c>
    </row>
    <row r="186" spans="1:16" x14ac:dyDescent="0.25">
      <c r="A186">
        <v>28918</v>
      </c>
      <c r="B186" t="s">
        <v>50</v>
      </c>
      <c r="C186" t="s">
        <v>52</v>
      </c>
      <c r="D186" s="1">
        <v>130000</v>
      </c>
      <c r="E186">
        <v>4</v>
      </c>
      <c r="F186" t="s">
        <v>27</v>
      </c>
      <c r="G186" t="s">
        <v>28</v>
      </c>
      <c r="H186" t="s">
        <v>18</v>
      </c>
      <c r="I186">
        <v>4</v>
      </c>
      <c r="J186" t="s">
        <v>72</v>
      </c>
      <c r="K186" t="s">
        <v>17</v>
      </c>
      <c r="L186">
        <v>58</v>
      </c>
      <c r="M186" t="str" cm="1">
        <f t="array" ref="M186">_xlfn.IFS(L186&lt;31, "Young Adult", L186&lt;=55, "Middle Age", L186&gt;55, "Old")</f>
        <v>Old</v>
      </c>
      <c r="N186" t="s">
        <v>18</v>
      </c>
      <c r="O186">
        <f t="shared" si="2"/>
        <v>0</v>
      </c>
      <c r="P186" t="str" cm="1">
        <f t="array" ref="P186">_xlfn.IFS(D186&lt;=40000,"1. Up to 40K",D186&lt;=60000,"2. 40-60K",D186&lt;=80000,"3. 60-80K",TRUE,"4. Over 80K")</f>
        <v>4. Over 80K</v>
      </c>
    </row>
    <row r="187" spans="1:16"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c r="O187">
        <f t="shared" si="2"/>
        <v>1</v>
      </c>
      <c r="P187" t="str" cm="1">
        <f t="array" ref="P187">_xlfn.IFS(D187&lt;=40000,"1. Up to 40K",D187&lt;=60000,"2. 40-60K",D187&lt;=80000,"3. 60-80K",TRUE,"4. Over 80K")</f>
        <v>4. Over 80K</v>
      </c>
    </row>
    <row r="188" spans="1:16"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c r="O188">
        <f t="shared" si="2"/>
        <v>1</v>
      </c>
      <c r="P188" t="str" cm="1">
        <f t="array" ref="P188">_xlfn.IFS(D188&lt;=40000,"1. Up to 40K",D188&lt;=60000,"2. 40-60K",D188&lt;=80000,"3. 60-80K",TRUE,"4. Over 80K")</f>
        <v>1. Up to 40K</v>
      </c>
    </row>
    <row r="189" spans="1:16" x14ac:dyDescent="0.25">
      <c r="A189">
        <v>18151</v>
      </c>
      <c r="B189" t="s">
        <v>51</v>
      </c>
      <c r="C189" t="s">
        <v>53</v>
      </c>
      <c r="D189" s="1">
        <v>80000</v>
      </c>
      <c r="E189">
        <v>5</v>
      </c>
      <c r="F189" t="s">
        <v>19</v>
      </c>
      <c r="G189" t="s">
        <v>21</v>
      </c>
      <c r="H189" t="s">
        <v>18</v>
      </c>
      <c r="I189">
        <v>2</v>
      </c>
      <c r="J189" t="s">
        <v>72</v>
      </c>
      <c r="K189" t="s">
        <v>17</v>
      </c>
      <c r="L189">
        <v>59</v>
      </c>
      <c r="M189" t="str" cm="1">
        <f t="array" ref="M189">_xlfn.IFS(L189&lt;31, "Young Adult", L189&lt;=55, "Middle Age", L189&gt;55, "Old")</f>
        <v>Old</v>
      </c>
      <c r="N189" t="s">
        <v>18</v>
      </c>
      <c r="O189">
        <f t="shared" si="2"/>
        <v>0</v>
      </c>
      <c r="P189" t="str" cm="1">
        <f t="array" ref="P189">_xlfn.IFS(D189&lt;=40000,"1. Up to 40K",D189&lt;=60000,"2. 40-60K",D189&lt;=80000,"3. 60-80K",TRUE,"4. Over 80K")</f>
        <v>3. 60-80K</v>
      </c>
    </row>
    <row r="190" spans="1:16" x14ac:dyDescent="0.25">
      <c r="A190">
        <v>20606</v>
      </c>
      <c r="B190" t="s">
        <v>50</v>
      </c>
      <c r="C190" t="s">
        <v>52</v>
      </c>
      <c r="D190" s="1">
        <v>70000</v>
      </c>
      <c r="E190">
        <v>0</v>
      </c>
      <c r="F190" t="s">
        <v>13</v>
      </c>
      <c r="G190" t="s">
        <v>21</v>
      </c>
      <c r="H190" t="s">
        <v>15</v>
      </c>
      <c r="I190">
        <v>4</v>
      </c>
      <c r="J190" t="s">
        <v>72</v>
      </c>
      <c r="K190" t="s">
        <v>24</v>
      </c>
      <c r="L190">
        <v>32</v>
      </c>
      <c r="M190" t="str" cm="1">
        <f t="array" ref="M190">_xlfn.IFS(L190&lt;31, "Young Adult", L190&lt;=55, "Middle Age", L190&gt;55, "Old")</f>
        <v>Middle Age</v>
      </c>
      <c r="N190" t="s">
        <v>15</v>
      </c>
      <c r="O190">
        <f t="shared" si="2"/>
        <v>1</v>
      </c>
      <c r="P190" t="str" cm="1">
        <f t="array" ref="P190">_xlfn.IFS(D190&lt;=40000,"1. Up to 40K",D190&lt;=60000,"2. 40-60K",D190&lt;=80000,"3. 60-80K",TRUE,"4. Over 80K")</f>
        <v>3. 60-80K</v>
      </c>
    </row>
    <row r="191" spans="1:16"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c r="O191">
        <f t="shared" si="2"/>
        <v>1</v>
      </c>
      <c r="P191" t="str" cm="1">
        <f t="array" ref="P191">_xlfn.IFS(D191&lt;=40000,"1. Up to 40K",D191&lt;=60000,"2. 40-60K",D191&lt;=80000,"3. 60-80K",TRUE,"4. Over 80K")</f>
        <v>1. Up to 40K</v>
      </c>
    </row>
    <row r="192" spans="1:16"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c r="O192">
        <f t="shared" si="2"/>
        <v>0</v>
      </c>
      <c r="P192" t="str" cm="1">
        <f t="array" ref="P192">_xlfn.IFS(D192&lt;=40000,"1. Up to 40K",D192&lt;=60000,"2. 40-60K",D192&lt;=80000,"3. 60-80K",TRUE,"4. Over 80K")</f>
        <v>1. Up to 40K</v>
      </c>
    </row>
    <row r="193" spans="1:16"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c r="O193">
        <f t="shared" si="2"/>
        <v>1</v>
      </c>
      <c r="P193" t="str" cm="1">
        <f t="array" ref="P193">_xlfn.IFS(D193&lt;=40000,"1. Up to 40K",D193&lt;=60000,"2. 40-60K",D193&lt;=80000,"3. 60-80K",TRUE,"4. Over 80K")</f>
        <v>4. Over 80K</v>
      </c>
    </row>
    <row r="194" spans="1:16" x14ac:dyDescent="0.25">
      <c r="A194">
        <v>15682</v>
      </c>
      <c r="B194" t="s">
        <v>51</v>
      </c>
      <c r="C194" t="s">
        <v>52</v>
      </c>
      <c r="D194" s="1">
        <v>80000</v>
      </c>
      <c r="E194">
        <v>5</v>
      </c>
      <c r="F194" t="s">
        <v>13</v>
      </c>
      <c r="G194" t="s">
        <v>28</v>
      </c>
      <c r="H194" t="s">
        <v>15</v>
      </c>
      <c r="I194">
        <v>2</v>
      </c>
      <c r="J194" t="s">
        <v>72</v>
      </c>
      <c r="K194" t="s">
        <v>17</v>
      </c>
      <c r="L194">
        <v>62</v>
      </c>
      <c r="M194" t="str" cm="1">
        <f t="array" ref="M194">_xlfn.IFS(L194&lt;31, "Young Adult", L194&lt;=55, "Middle Age", L194&gt;55, "Old")</f>
        <v>Old</v>
      </c>
      <c r="N194" t="s">
        <v>18</v>
      </c>
      <c r="O194">
        <f t="shared" si="2"/>
        <v>0</v>
      </c>
      <c r="P194" t="str" cm="1">
        <f t="array" ref="P194">_xlfn.IFS(D194&lt;=40000,"1. Up to 40K",D194&lt;=60000,"2. 40-60K",D194&lt;=80000,"3. 60-80K",TRUE,"4. Over 80K")</f>
        <v>3. 60-80K</v>
      </c>
    </row>
    <row r="195" spans="1:16" x14ac:dyDescent="0.25">
      <c r="A195">
        <v>26032</v>
      </c>
      <c r="B195" t="s">
        <v>50</v>
      </c>
      <c r="C195" t="s">
        <v>52</v>
      </c>
      <c r="D195" s="1">
        <v>70000</v>
      </c>
      <c r="E195">
        <v>5</v>
      </c>
      <c r="F195" t="s">
        <v>13</v>
      </c>
      <c r="G195" t="s">
        <v>21</v>
      </c>
      <c r="H195" t="s">
        <v>15</v>
      </c>
      <c r="I195">
        <v>4</v>
      </c>
      <c r="J195" t="s">
        <v>72</v>
      </c>
      <c r="K195" t="s">
        <v>24</v>
      </c>
      <c r="L195">
        <v>41</v>
      </c>
      <c r="M195" t="str" cm="1">
        <f t="array" ref="M195">_xlfn.IFS(L195&lt;31, "Young Adult", L195&lt;=55, "Middle Age", L195&gt;55, "Old")</f>
        <v>Middle Age</v>
      </c>
      <c r="N195" t="s">
        <v>18</v>
      </c>
      <c r="O195">
        <f t="shared" ref="O195:O258" si="3">IF(N195="Yes",1,0)</f>
        <v>0</v>
      </c>
      <c r="P195" t="str" cm="1">
        <f t="array" ref="P195">_xlfn.IFS(D195&lt;=40000,"1. Up to 40K",D195&lt;=60000,"2. 40-60K",D195&lt;=80000,"3. 60-80K",TRUE,"4. Over 80K")</f>
        <v>3. 60-80K</v>
      </c>
    </row>
    <row r="196" spans="1:16"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c r="O196">
        <f t="shared" si="3"/>
        <v>0</v>
      </c>
      <c r="P196" t="str" cm="1">
        <f t="array" ref="P196">_xlfn.IFS(D196&lt;=40000,"1. Up to 40K",D196&lt;=60000,"2. 40-60K",D196&lt;=80000,"3. 60-80K",TRUE,"4. Over 80K")</f>
        <v>1. Up to 40K</v>
      </c>
    </row>
    <row r="197" spans="1:16"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c r="O197">
        <f t="shared" si="3"/>
        <v>1</v>
      </c>
      <c r="P197" t="str" cm="1">
        <f t="array" ref="P197">_xlfn.IFS(D197&lt;=40000,"1. Up to 40K",D197&lt;=60000,"2. 40-60K",D197&lt;=80000,"3. 60-80K",TRUE,"4. Over 80K")</f>
        <v>1. Up to 40K</v>
      </c>
    </row>
    <row r="198" spans="1:16"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c r="O198">
        <f t="shared" si="3"/>
        <v>0</v>
      </c>
      <c r="P198" t="str" cm="1">
        <f t="array" ref="P198">_xlfn.IFS(D198&lt;=40000,"1. Up to 40K",D198&lt;=60000,"2. 40-60K",D198&lt;=80000,"3. 60-80K",TRUE,"4. Over 80K")</f>
        <v>2. 40-60K</v>
      </c>
    </row>
    <row r="199" spans="1:16"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c r="O199">
        <f t="shared" si="3"/>
        <v>1</v>
      </c>
      <c r="P199" t="str" cm="1">
        <f t="array" ref="P199">_xlfn.IFS(D199&lt;=40000,"1. Up to 40K",D199&lt;=60000,"2. 40-60K",D199&lt;=80000,"3. 60-80K",TRUE,"4. Over 80K")</f>
        <v>2. 40-60K</v>
      </c>
    </row>
    <row r="200" spans="1:16"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c r="O200">
        <f t="shared" si="3"/>
        <v>1</v>
      </c>
      <c r="P200" t="str" cm="1">
        <f t="array" ref="P200">_xlfn.IFS(D200&lt;=40000,"1. Up to 40K",D200&lt;=60000,"2. 40-60K",D200&lt;=80000,"3. 60-80K",TRUE,"4. Over 80K")</f>
        <v>4. Over 80K</v>
      </c>
    </row>
    <row r="201" spans="1:16" x14ac:dyDescent="0.25">
      <c r="A201">
        <v>11453</v>
      </c>
      <c r="B201" t="s">
        <v>51</v>
      </c>
      <c r="C201" t="s">
        <v>53</v>
      </c>
      <c r="D201" s="1">
        <v>80000</v>
      </c>
      <c r="E201">
        <v>0</v>
      </c>
      <c r="F201" t="s">
        <v>13</v>
      </c>
      <c r="G201" t="s">
        <v>21</v>
      </c>
      <c r="H201" t="s">
        <v>18</v>
      </c>
      <c r="I201">
        <v>3</v>
      </c>
      <c r="J201" t="s">
        <v>72</v>
      </c>
      <c r="K201" t="s">
        <v>24</v>
      </c>
      <c r="L201">
        <v>33</v>
      </c>
      <c r="M201" t="str" cm="1">
        <f t="array" ref="M201">_xlfn.IFS(L201&lt;31, "Young Adult", L201&lt;=55, "Middle Age", L201&gt;55, "Old")</f>
        <v>Middle Age</v>
      </c>
      <c r="N201" t="s">
        <v>15</v>
      </c>
      <c r="O201">
        <f t="shared" si="3"/>
        <v>1</v>
      </c>
      <c r="P201" t="str" cm="1">
        <f t="array" ref="P201">_xlfn.IFS(D201&lt;=40000,"1. Up to 40K",D201&lt;=60000,"2. 40-60K",D201&lt;=80000,"3. 60-80K",TRUE,"4. Over 80K")</f>
        <v>3. 60-80K</v>
      </c>
    </row>
    <row r="202" spans="1:16"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c r="O202">
        <f t="shared" si="3"/>
        <v>0</v>
      </c>
      <c r="P202" t="str" cm="1">
        <f t="array" ref="P202">_xlfn.IFS(D202&lt;=40000,"1. Up to 40K",D202&lt;=60000,"2. 40-60K",D202&lt;=80000,"3. 60-80K",TRUE,"4. Over 80K")</f>
        <v>2. 40-60K</v>
      </c>
    </row>
    <row r="203" spans="1:16"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c r="O203">
        <f t="shared" si="3"/>
        <v>1</v>
      </c>
      <c r="P203" t="str" cm="1">
        <f t="array" ref="P203">_xlfn.IFS(D203&lt;=40000,"1. Up to 40K",D203&lt;=60000,"2. 40-60K",D203&lt;=80000,"3. 60-80K",TRUE,"4. Over 80K")</f>
        <v>1. Up to 40K</v>
      </c>
    </row>
    <row r="204" spans="1:16"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c r="O204">
        <f t="shared" si="3"/>
        <v>1</v>
      </c>
      <c r="P204" t="str" cm="1">
        <f t="array" ref="P204">_xlfn.IFS(D204&lt;=40000,"1. Up to 40K",D204&lt;=60000,"2. 40-60K",D204&lt;=80000,"3. 60-80K",TRUE,"4. Over 80K")</f>
        <v>1. Up to 40K</v>
      </c>
    </row>
    <row r="205" spans="1:16"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c r="O205">
        <f t="shared" si="3"/>
        <v>1</v>
      </c>
      <c r="P205" t="str" cm="1">
        <f t="array" ref="P205">_xlfn.IFS(D205&lt;=40000,"1. Up to 40K",D205&lt;=60000,"2. 40-60K",D205&lt;=80000,"3. 60-80K",TRUE,"4. Over 80K")</f>
        <v>2. 40-60K</v>
      </c>
    </row>
    <row r="206" spans="1:16"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c r="O206">
        <f t="shared" si="3"/>
        <v>0</v>
      </c>
      <c r="P206" t="str" cm="1">
        <f t="array" ref="P206">_xlfn.IFS(D206&lt;=40000,"1. Up to 40K",D206&lt;=60000,"2. 40-60K",D206&lt;=80000,"3. 60-80K",TRUE,"4. Over 80K")</f>
        <v>4. Over 80K</v>
      </c>
    </row>
    <row r="207" spans="1:16"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c r="O207">
        <f t="shared" si="3"/>
        <v>1</v>
      </c>
      <c r="P207" t="str" cm="1">
        <f t="array" ref="P207">_xlfn.IFS(D207&lt;=40000,"1. Up to 40K",D207&lt;=60000,"2. 40-60K",D207&lt;=80000,"3. 60-80K",TRUE,"4. Over 80K")</f>
        <v>1. Up to 40K</v>
      </c>
    </row>
    <row r="208" spans="1:16" x14ac:dyDescent="0.25">
      <c r="A208">
        <v>11415</v>
      </c>
      <c r="B208" t="s">
        <v>51</v>
      </c>
      <c r="C208" t="s">
        <v>53</v>
      </c>
      <c r="D208" s="1">
        <v>90000</v>
      </c>
      <c r="E208">
        <v>5</v>
      </c>
      <c r="F208" t="s">
        <v>19</v>
      </c>
      <c r="G208" t="s">
        <v>21</v>
      </c>
      <c r="H208" t="s">
        <v>18</v>
      </c>
      <c r="I208">
        <v>2</v>
      </c>
      <c r="J208" t="s">
        <v>72</v>
      </c>
      <c r="K208" t="s">
        <v>17</v>
      </c>
      <c r="L208">
        <v>62</v>
      </c>
      <c r="M208" t="str" cm="1">
        <f t="array" ref="M208">_xlfn.IFS(L208&lt;31, "Young Adult", L208&lt;=55, "Middle Age", L208&gt;55, "Old")</f>
        <v>Old</v>
      </c>
      <c r="N208" t="s">
        <v>18</v>
      </c>
      <c r="O208">
        <f t="shared" si="3"/>
        <v>0</v>
      </c>
      <c r="P208" t="str" cm="1">
        <f t="array" ref="P208">_xlfn.IFS(D208&lt;=40000,"1. Up to 40K",D208&lt;=60000,"2. 40-60K",D208&lt;=80000,"3. 60-80K",TRUE,"4. Over 80K")</f>
        <v>4. Over 80K</v>
      </c>
    </row>
    <row r="209" spans="1:16"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c r="O209">
        <f t="shared" si="3"/>
        <v>1</v>
      </c>
      <c r="P209" t="str" cm="1">
        <f t="array" ref="P209">_xlfn.IFS(D209&lt;=40000,"1. Up to 40K",D209&lt;=60000,"2. 40-60K",D209&lt;=80000,"3. 60-80K",TRUE,"4. Over 80K")</f>
        <v>1. Up to 40K</v>
      </c>
    </row>
    <row r="210" spans="1:16"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c r="O210">
        <f t="shared" si="3"/>
        <v>1</v>
      </c>
      <c r="P210" t="str" cm="1">
        <f t="array" ref="P210">_xlfn.IFS(D210&lt;=40000,"1. Up to 40K",D210&lt;=60000,"2. 40-60K",D210&lt;=80000,"3. 60-80K",TRUE,"4. Over 80K")</f>
        <v>1. Up to 40K</v>
      </c>
    </row>
    <row r="211" spans="1:16"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c r="O211">
        <f t="shared" si="3"/>
        <v>1</v>
      </c>
      <c r="P211" t="str" cm="1">
        <f t="array" ref="P211">_xlfn.IFS(D211&lt;=40000,"1. Up to 40K",D211&lt;=60000,"2. 40-60K",D211&lt;=80000,"3. 60-80K",TRUE,"4. Over 80K")</f>
        <v>1. Up to 40K</v>
      </c>
    </row>
    <row r="212" spans="1:16"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c r="O212">
        <f t="shared" si="3"/>
        <v>0</v>
      </c>
      <c r="P212" t="str" cm="1">
        <f t="array" ref="P212">_xlfn.IFS(D212&lt;=40000,"1. Up to 40K",D212&lt;=60000,"2. 40-60K",D212&lt;=80000,"3. 60-80K",TRUE,"4. Over 80K")</f>
        <v>3. 60-80K</v>
      </c>
    </row>
    <row r="213" spans="1:16"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c r="O213">
        <f t="shared" si="3"/>
        <v>1</v>
      </c>
      <c r="P213" t="str" cm="1">
        <f t="array" ref="P213">_xlfn.IFS(D213&lt;=40000,"1. Up to 40K",D213&lt;=60000,"2. 40-60K",D213&lt;=80000,"3. 60-80K",TRUE,"4. Over 80K")</f>
        <v>2. 40-60K</v>
      </c>
    </row>
    <row r="214" spans="1:16"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c r="O214">
        <f t="shared" si="3"/>
        <v>0</v>
      </c>
      <c r="P214" t="str" cm="1">
        <f t="array" ref="P214">_xlfn.IFS(D214&lt;=40000,"1. Up to 40K",D214&lt;=60000,"2. 40-60K",D214&lt;=80000,"3. 60-80K",TRUE,"4. Over 80K")</f>
        <v>1. Up to 40K</v>
      </c>
    </row>
    <row r="215" spans="1:16" x14ac:dyDescent="0.25">
      <c r="A215">
        <v>11451</v>
      </c>
      <c r="B215" t="s">
        <v>51</v>
      </c>
      <c r="C215" t="s">
        <v>53</v>
      </c>
      <c r="D215" s="1">
        <v>70000</v>
      </c>
      <c r="E215">
        <v>0</v>
      </c>
      <c r="F215" t="s">
        <v>13</v>
      </c>
      <c r="G215" t="s">
        <v>21</v>
      </c>
      <c r="H215" t="s">
        <v>18</v>
      </c>
      <c r="I215">
        <v>4</v>
      </c>
      <c r="J215" t="s">
        <v>72</v>
      </c>
      <c r="K215" t="s">
        <v>24</v>
      </c>
      <c r="L215">
        <v>31</v>
      </c>
      <c r="M215" t="str" cm="1">
        <f t="array" ref="M215">_xlfn.IFS(L215&lt;31, "Young Adult", L215&lt;=55, "Middle Age", L215&gt;55, "Old")</f>
        <v>Middle Age</v>
      </c>
      <c r="N215" t="s">
        <v>15</v>
      </c>
      <c r="O215">
        <f t="shared" si="3"/>
        <v>1</v>
      </c>
      <c r="P215" t="str" cm="1">
        <f t="array" ref="P215">_xlfn.IFS(D215&lt;=40000,"1. Up to 40K",D215&lt;=60000,"2. 40-60K",D215&lt;=80000,"3. 60-80K",TRUE,"4. Over 80K")</f>
        <v>3. 60-80K</v>
      </c>
    </row>
    <row r="216" spans="1:16"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c r="O216">
        <f t="shared" si="3"/>
        <v>1</v>
      </c>
      <c r="P216" t="str" cm="1">
        <f t="array" ref="P216">_xlfn.IFS(D216&lt;=40000,"1. Up to 40K",D216&lt;=60000,"2. 40-60K",D216&lt;=80000,"3. 60-80K",TRUE,"4. Over 80K")</f>
        <v>1. Up to 40K</v>
      </c>
    </row>
    <row r="217" spans="1:16"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c r="O217">
        <f t="shared" si="3"/>
        <v>1</v>
      </c>
      <c r="P217" t="str" cm="1">
        <f t="array" ref="P217">_xlfn.IFS(D217&lt;=40000,"1. Up to 40K",D217&lt;=60000,"2. 40-60K",D217&lt;=80000,"3. 60-80K",TRUE,"4. Over 80K")</f>
        <v>3. 60-80K</v>
      </c>
    </row>
    <row r="218" spans="1:16"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c r="O218">
        <f t="shared" si="3"/>
        <v>0</v>
      </c>
      <c r="P218" t="str" cm="1">
        <f t="array" ref="P218">_xlfn.IFS(D218&lt;=40000,"1. Up to 40K",D218&lt;=60000,"2. 40-60K",D218&lt;=80000,"3. 60-80K",TRUE,"4. Over 80K")</f>
        <v>1. Up to 40K</v>
      </c>
    </row>
    <row r="219" spans="1:16"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c r="O219">
        <f t="shared" si="3"/>
        <v>0</v>
      </c>
      <c r="P219" t="str" cm="1">
        <f t="array" ref="P219">_xlfn.IFS(D219&lt;=40000,"1. Up to 40K",D219&lt;=60000,"2. 40-60K",D219&lt;=80000,"3. 60-80K",TRUE,"4. Over 80K")</f>
        <v>1. Up to 40K</v>
      </c>
    </row>
    <row r="220" spans="1:16"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c r="O220">
        <f t="shared" si="3"/>
        <v>0</v>
      </c>
      <c r="P220" t="str" cm="1">
        <f t="array" ref="P220">_xlfn.IFS(D220&lt;=40000,"1. Up to 40K",D220&lt;=60000,"2. 40-60K",D220&lt;=80000,"3. 60-80K",TRUE,"4. Over 80K")</f>
        <v>1. Up to 40K</v>
      </c>
    </row>
    <row r="221" spans="1:16"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c r="O221">
        <f t="shared" si="3"/>
        <v>1</v>
      </c>
      <c r="P221" t="str" cm="1">
        <f t="array" ref="P221">_xlfn.IFS(D221&lt;=40000,"1. Up to 40K",D221&lt;=60000,"2. 40-60K",D221&lt;=80000,"3. 60-80K",TRUE,"4. Over 80K")</f>
        <v>1. Up to 40K</v>
      </c>
    </row>
    <row r="222" spans="1:16"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c r="O222">
        <f t="shared" si="3"/>
        <v>1</v>
      </c>
      <c r="P222" t="str" cm="1">
        <f t="array" ref="P222">_xlfn.IFS(D222&lt;=40000,"1. Up to 40K",D222&lt;=60000,"2. 40-60K",D222&lt;=80000,"3. 60-80K",TRUE,"4. Over 80K")</f>
        <v>2. 40-60K</v>
      </c>
    </row>
    <row r="223" spans="1:16"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c r="O223">
        <f t="shared" si="3"/>
        <v>0</v>
      </c>
      <c r="P223" t="str" cm="1">
        <f t="array" ref="P223">_xlfn.IFS(D223&lt;=40000,"1. Up to 40K",D223&lt;=60000,"2. 40-60K",D223&lt;=80000,"3. 60-80K",TRUE,"4. Over 80K")</f>
        <v>1. Up to 40K</v>
      </c>
    </row>
    <row r="224" spans="1:16"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c r="O224">
        <f t="shared" si="3"/>
        <v>0</v>
      </c>
      <c r="P224" t="str" cm="1">
        <f t="array" ref="P224">_xlfn.IFS(D224&lt;=40000,"1. Up to 40K",D224&lt;=60000,"2. 40-60K",D224&lt;=80000,"3. 60-80K",TRUE,"4. Over 80K")</f>
        <v>1. Up to 40K</v>
      </c>
    </row>
    <row r="225" spans="1:16" x14ac:dyDescent="0.25">
      <c r="A225">
        <v>18711</v>
      </c>
      <c r="B225" t="s">
        <v>51</v>
      </c>
      <c r="C225" t="s">
        <v>52</v>
      </c>
      <c r="D225" s="1">
        <v>70000</v>
      </c>
      <c r="E225">
        <v>5</v>
      </c>
      <c r="F225" t="s">
        <v>13</v>
      </c>
      <c r="G225" t="s">
        <v>21</v>
      </c>
      <c r="H225" t="s">
        <v>15</v>
      </c>
      <c r="I225">
        <v>4</v>
      </c>
      <c r="J225" t="s">
        <v>72</v>
      </c>
      <c r="K225" t="s">
        <v>24</v>
      </c>
      <c r="L225">
        <v>39</v>
      </c>
      <c r="M225" t="str" cm="1">
        <f t="array" ref="M225">_xlfn.IFS(L225&lt;31, "Young Adult", L225&lt;=55, "Middle Age", L225&gt;55, "Old")</f>
        <v>Middle Age</v>
      </c>
      <c r="N225" t="s">
        <v>18</v>
      </c>
      <c r="O225">
        <f t="shared" si="3"/>
        <v>0</v>
      </c>
      <c r="P225" t="str" cm="1">
        <f t="array" ref="P225">_xlfn.IFS(D225&lt;=40000,"1. Up to 40K",D225&lt;=60000,"2. 40-60K",D225&lt;=80000,"3. 60-80K",TRUE,"4. Over 80K")</f>
        <v>3. 60-80K</v>
      </c>
    </row>
    <row r="226" spans="1:16"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c r="O226">
        <f t="shared" si="3"/>
        <v>0</v>
      </c>
      <c r="P226" t="str" cm="1">
        <f t="array" ref="P226">_xlfn.IFS(D226&lt;=40000,"1. Up to 40K",D226&lt;=60000,"2. 40-60K",D226&lt;=80000,"3. 60-80K",TRUE,"4. Over 80K")</f>
        <v>1. Up to 40K</v>
      </c>
    </row>
    <row r="227" spans="1:16"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c r="O227">
        <f t="shared" si="3"/>
        <v>0</v>
      </c>
      <c r="P227" t="str" cm="1">
        <f t="array" ref="P227">_xlfn.IFS(D227&lt;=40000,"1. Up to 40K",D227&lt;=60000,"2. 40-60K",D227&lt;=80000,"3. 60-80K",TRUE,"4. Over 80K")</f>
        <v>1. Up to 40K</v>
      </c>
    </row>
    <row r="228" spans="1:16"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c r="O228">
        <f t="shared" si="3"/>
        <v>1</v>
      </c>
      <c r="P228" t="str" cm="1">
        <f t="array" ref="P228">_xlfn.IFS(D228&lt;=40000,"1. Up to 40K",D228&lt;=60000,"2. 40-60K",D228&lt;=80000,"3. 60-80K",TRUE,"4. Over 80K")</f>
        <v>1. Up to 40K</v>
      </c>
    </row>
    <row r="229" spans="1:16"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c r="O229">
        <f t="shared" si="3"/>
        <v>0</v>
      </c>
      <c r="P229" t="str" cm="1">
        <f t="array" ref="P229">_xlfn.IFS(D229&lt;=40000,"1. Up to 40K",D229&lt;=60000,"2. 40-60K",D229&lt;=80000,"3. 60-80K",TRUE,"4. Over 80K")</f>
        <v>1. Up to 40K</v>
      </c>
    </row>
    <row r="230" spans="1:16"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c r="O230">
        <f t="shared" si="3"/>
        <v>0</v>
      </c>
      <c r="P230" t="str" cm="1">
        <f t="array" ref="P230">_xlfn.IFS(D230&lt;=40000,"1. Up to 40K",D230&lt;=60000,"2. 40-60K",D230&lt;=80000,"3. 60-80K",TRUE,"4. Over 80K")</f>
        <v>1. Up to 40K</v>
      </c>
    </row>
    <row r="231" spans="1:16" x14ac:dyDescent="0.25">
      <c r="A231">
        <v>28915</v>
      </c>
      <c r="B231" t="s">
        <v>51</v>
      </c>
      <c r="C231" t="s">
        <v>53</v>
      </c>
      <c r="D231" s="1">
        <v>80000</v>
      </c>
      <c r="E231">
        <v>5</v>
      </c>
      <c r="F231" t="s">
        <v>27</v>
      </c>
      <c r="G231" t="s">
        <v>28</v>
      </c>
      <c r="H231" t="s">
        <v>15</v>
      </c>
      <c r="I231">
        <v>3</v>
      </c>
      <c r="J231" t="s">
        <v>72</v>
      </c>
      <c r="K231" t="s">
        <v>17</v>
      </c>
      <c r="L231">
        <v>57</v>
      </c>
      <c r="M231" t="str" cm="1">
        <f t="array" ref="M231">_xlfn.IFS(L231&lt;31, "Young Adult", L231&lt;=55, "Middle Age", L231&gt;55, "Old")</f>
        <v>Old</v>
      </c>
      <c r="N231" t="s">
        <v>18</v>
      </c>
      <c r="O231">
        <f t="shared" si="3"/>
        <v>0</v>
      </c>
      <c r="P231" t="str" cm="1">
        <f t="array" ref="P231">_xlfn.IFS(D231&lt;=40000,"1. Up to 40K",D231&lt;=60000,"2. 40-60K",D231&lt;=80000,"3. 60-80K",TRUE,"4. Over 80K")</f>
        <v>3. 60-80K</v>
      </c>
    </row>
    <row r="232" spans="1:16" x14ac:dyDescent="0.25">
      <c r="A232">
        <v>22830</v>
      </c>
      <c r="B232" t="s">
        <v>50</v>
      </c>
      <c r="C232" t="s">
        <v>53</v>
      </c>
      <c r="D232" s="1">
        <v>120000</v>
      </c>
      <c r="E232">
        <v>4</v>
      </c>
      <c r="F232" t="s">
        <v>19</v>
      </c>
      <c r="G232" t="s">
        <v>28</v>
      </c>
      <c r="H232" t="s">
        <v>15</v>
      </c>
      <c r="I232">
        <v>3</v>
      </c>
      <c r="J232" t="s">
        <v>72</v>
      </c>
      <c r="K232" t="s">
        <v>17</v>
      </c>
      <c r="L232">
        <v>56</v>
      </c>
      <c r="M232" t="str" cm="1">
        <f t="array" ref="M232">_xlfn.IFS(L232&lt;31, "Young Adult", L232&lt;=55, "Middle Age", L232&gt;55, "Old")</f>
        <v>Old</v>
      </c>
      <c r="N232" t="s">
        <v>18</v>
      </c>
      <c r="O232">
        <f t="shared" si="3"/>
        <v>0</v>
      </c>
      <c r="P232" t="str" cm="1">
        <f t="array" ref="P232">_xlfn.IFS(D232&lt;=40000,"1. Up to 40K",D232&lt;=60000,"2. 40-60K",D232&lt;=80000,"3. 60-80K",TRUE,"4. Over 80K")</f>
        <v>4. Over 80K</v>
      </c>
    </row>
    <row r="233" spans="1:16"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c r="O233">
        <f t="shared" si="3"/>
        <v>1</v>
      </c>
      <c r="P233" t="str" cm="1">
        <f t="array" ref="P233">_xlfn.IFS(D233&lt;=40000,"1. Up to 40K",D233&lt;=60000,"2. 40-60K",D233&lt;=80000,"3. 60-80K",TRUE,"4. Over 80K")</f>
        <v>1. Up to 40K</v>
      </c>
    </row>
    <row r="234" spans="1:16"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c r="O234">
        <f t="shared" si="3"/>
        <v>0</v>
      </c>
      <c r="P234" t="str" cm="1">
        <f t="array" ref="P234">_xlfn.IFS(D234&lt;=40000,"1. Up to 40K",D234&lt;=60000,"2. 40-60K",D234&lt;=80000,"3. 60-80K",TRUE,"4. Over 80K")</f>
        <v>1. Up to 40K</v>
      </c>
    </row>
    <row r="235" spans="1:16"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c r="O235">
        <f t="shared" si="3"/>
        <v>1</v>
      </c>
      <c r="P235" t="str" cm="1">
        <f t="array" ref="P235">_xlfn.IFS(D235&lt;=40000,"1. Up to 40K",D235&lt;=60000,"2. 40-60K",D235&lt;=80000,"3. 60-80K",TRUE,"4. Over 80K")</f>
        <v>1. Up to 40K</v>
      </c>
    </row>
    <row r="236" spans="1:16" x14ac:dyDescent="0.25">
      <c r="A236">
        <v>24611</v>
      </c>
      <c r="B236" t="s">
        <v>51</v>
      </c>
      <c r="C236" t="s">
        <v>53</v>
      </c>
      <c r="D236" s="1">
        <v>90000</v>
      </c>
      <c r="E236">
        <v>0</v>
      </c>
      <c r="F236" t="s">
        <v>13</v>
      </c>
      <c r="G236" t="s">
        <v>21</v>
      </c>
      <c r="H236" t="s">
        <v>18</v>
      </c>
      <c r="I236">
        <v>4</v>
      </c>
      <c r="J236" t="s">
        <v>72</v>
      </c>
      <c r="K236" t="s">
        <v>24</v>
      </c>
      <c r="L236">
        <v>35</v>
      </c>
      <c r="M236" t="str" cm="1">
        <f t="array" ref="M236">_xlfn.IFS(L236&lt;31, "Young Adult", L236&lt;=55, "Middle Age", L236&gt;55, "Old")</f>
        <v>Middle Age</v>
      </c>
      <c r="N236" t="s">
        <v>15</v>
      </c>
      <c r="O236">
        <f t="shared" si="3"/>
        <v>1</v>
      </c>
      <c r="P236" t="str" cm="1">
        <f t="array" ref="P236">_xlfn.IFS(D236&lt;=40000,"1. Up to 40K",D236&lt;=60000,"2. 40-60K",D236&lt;=80000,"3. 60-80K",TRUE,"4. Over 80K")</f>
        <v>4. Over 80K</v>
      </c>
    </row>
    <row r="237" spans="1:16"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c r="O237">
        <f t="shared" si="3"/>
        <v>1</v>
      </c>
      <c r="P237" t="str" cm="1">
        <f t="array" ref="P237">_xlfn.IFS(D237&lt;=40000,"1. Up to 40K",D237&lt;=60000,"2. 40-60K",D237&lt;=80000,"3. 60-80K",TRUE,"4. Over 80K")</f>
        <v>1. Up to 40K</v>
      </c>
    </row>
    <row r="238" spans="1:16"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c r="O238">
        <f t="shared" si="3"/>
        <v>1</v>
      </c>
      <c r="P238" t="str" cm="1">
        <f t="array" ref="P238">_xlfn.IFS(D238&lt;=40000,"1. Up to 40K",D238&lt;=60000,"2. 40-60K",D238&lt;=80000,"3. 60-80K",TRUE,"4. Over 80K")</f>
        <v>1. Up to 40K</v>
      </c>
    </row>
    <row r="239" spans="1:16"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c r="O239">
        <f t="shared" si="3"/>
        <v>1</v>
      </c>
      <c r="P239" t="str" cm="1">
        <f t="array" ref="P239">_xlfn.IFS(D239&lt;=40000,"1. Up to 40K",D239&lt;=60000,"2. 40-60K",D239&lt;=80000,"3. 60-80K",TRUE,"4. Over 80K")</f>
        <v>1. Up to 40K</v>
      </c>
    </row>
    <row r="240" spans="1:16"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c r="O240">
        <f t="shared" si="3"/>
        <v>0</v>
      </c>
      <c r="P240" t="str" cm="1">
        <f t="array" ref="P240">_xlfn.IFS(D240&lt;=40000,"1. Up to 40K",D240&lt;=60000,"2. 40-60K",D240&lt;=80000,"3. 60-80K",TRUE,"4. Over 80K")</f>
        <v>3. 60-80K</v>
      </c>
    </row>
    <row r="241" spans="1:16"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c r="O241">
        <f t="shared" si="3"/>
        <v>1</v>
      </c>
      <c r="P241" t="str" cm="1">
        <f t="array" ref="P241">_xlfn.IFS(D241&lt;=40000,"1. Up to 40K",D241&lt;=60000,"2. 40-60K",D241&lt;=80000,"3. 60-80K",TRUE,"4. Over 80K")</f>
        <v>1. Up to 40K</v>
      </c>
    </row>
    <row r="242" spans="1:16"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c r="O242">
        <f t="shared" si="3"/>
        <v>0</v>
      </c>
      <c r="P242" t="str" cm="1">
        <f t="array" ref="P242">_xlfn.IFS(D242&lt;=40000,"1. Up to 40K",D242&lt;=60000,"2. 40-60K",D242&lt;=80000,"3. 60-80K",TRUE,"4. Over 80K")</f>
        <v>1. Up to 40K</v>
      </c>
    </row>
    <row r="243" spans="1:16"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c r="O243">
        <f t="shared" si="3"/>
        <v>0</v>
      </c>
      <c r="P243" t="str" cm="1">
        <f t="array" ref="P243">_xlfn.IFS(D243&lt;=40000,"1. Up to 40K",D243&lt;=60000,"2. 40-60K",D243&lt;=80000,"3. 60-80K",TRUE,"4. Over 80K")</f>
        <v>1. Up to 40K</v>
      </c>
    </row>
    <row r="244" spans="1:16"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c r="O244">
        <f t="shared" si="3"/>
        <v>1</v>
      </c>
      <c r="P244" t="str" cm="1">
        <f t="array" ref="P244">_xlfn.IFS(D244&lt;=40000,"1. Up to 40K",D244&lt;=60000,"2. 40-60K",D244&lt;=80000,"3. 60-80K",TRUE,"4. Over 80K")</f>
        <v>1. Up to 40K</v>
      </c>
    </row>
    <row r="245" spans="1:16"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c r="O245">
        <f t="shared" si="3"/>
        <v>0</v>
      </c>
      <c r="P245" t="str" cm="1">
        <f t="array" ref="P245">_xlfn.IFS(D245&lt;=40000,"1. Up to 40K",D245&lt;=60000,"2. 40-60K",D245&lt;=80000,"3. 60-80K",TRUE,"4. Over 80K")</f>
        <v>1. Up to 40K</v>
      </c>
    </row>
    <row r="246" spans="1:16" x14ac:dyDescent="0.25">
      <c r="A246">
        <v>19057</v>
      </c>
      <c r="B246" t="s">
        <v>50</v>
      </c>
      <c r="C246" t="s">
        <v>52</v>
      </c>
      <c r="D246" s="1">
        <v>120000</v>
      </c>
      <c r="E246">
        <v>3</v>
      </c>
      <c r="F246" t="s">
        <v>13</v>
      </c>
      <c r="G246" t="s">
        <v>28</v>
      </c>
      <c r="H246" t="s">
        <v>18</v>
      </c>
      <c r="I246">
        <v>2</v>
      </c>
      <c r="J246" t="s">
        <v>72</v>
      </c>
      <c r="K246" t="s">
        <v>17</v>
      </c>
      <c r="L246">
        <v>52</v>
      </c>
      <c r="M246" t="str" cm="1">
        <f t="array" ref="M246">_xlfn.IFS(L246&lt;31, "Young Adult", L246&lt;=55, "Middle Age", L246&gt;55, "Old")</f>
        <v>Middle Age</v>
      </c>
      <c r="N246" t="s">
        <v>15</v>
      </c>
      <c r="O246">
        <f t="shared" si="3"/>
        <v>1</v>
      </c>
      <c r="P246" t="str" cm="1">
        <f t="array" ref="P246">_xlfn.IFS(D246&lt;=40000,"1. Up to 40K",D246&lt;=60000,"2. 40-60K",D246&lt;=80000,"3. 60-80K",TRUE,"4. Over 80K")</f>
        <v>4. Over 80K</v>
      </c>
    </row>
    <row r="247" spans="1:16"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c r="O247">
        <f t="shared" si="3"/>
        <v>1</v>
      </c>
      <c r="P247" t="str" cm="1">
        <f t="array" ref="P247">_xlfn.IFS(D247&lt;=40000,"1. Up to 40K",D247&lt;=60000,"2. 40-60K",D247&lt;=80000,"3. 60-80K",TRUE,"4. Over 80K")</f>
        <v>4. Over 80K</v>
      </c>
    </row>
    <row r="248" spans="1:16"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c r="O248">
        <f t="shared" si="3"/>
        <v>1</v>
      </c>
      <c r="P248" t="str" cm="1">
        <f t="array" ref="P248">_xlfn.IFS(D248&lt;=40000,"1. Up to 40K",D248&lt;=60000,"2. 40-60K",D248&lt;=80000,"3. 60-80K",TRUE,"4. Over 80K")</f>
        <v>4. Over 80K</v>
      </c>
    </row>
    <row r="249" spans="1:16" x14ac:dyDescent="0.25">
      <c r="A249">
        <v>21568</v>
      </c>
      <c r="B249" t="s">
        <v>50</v>
      </c>
      <c r="C249" t="s">
        <v>52</v>
      </c>
      <c r="D249" s="1">
        <v>100000</v>
      </c>
      <c r="E249">
        <v>0</v>
      </c>
      <c r="F249" t="s">
        <v>27</v>
      </c>
      <c r="G249" t="s">
        <v>28</v>
      </c>
      <c r="H249" t="s">
        <v>15</v>
      </c>
      <c r="I249">
        <v>4</v>
      </c>
      <c r="J249" t="s">
        <v>72</v>
      </c>
      <c r="K249" t="s">
        <v>24</v>
      </c>
      <c r="L249">
        <v>34</v>
      </c>
      <c r="M249" t="str" cm="1">
        <f t="array" ref="M249">_xlfn.IFS(L249&lt;31, "Young Adult", L249&lt;=55, "Middle Age", L249&gt;55, "Old")</f>
        <v>Middle Age</v>
      </c>
      <c r="N249" t="s">
        <v>15</v>
      </c>
      <c r="O249">
        <f t="shared" si="3"/>
        <v>1</v>
      </c>
      <c r="P249" t="str" cm="1">
        <f t="array" ref="P249">_xlfn.IFS(D249&lt;=40000,"1. Up to 40K",D249&lt;=60000,"2. 40-60K",D249&lt;=80000,"3. 60-80K",TRUE,"4. Over 80K")</f>
        <v>4. Over 80K</v>
      </c>
    </row>
    <row r="250" spans="1:16"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c r="O250">
        <f t="shared" si="3"/>
        <v>0</v>
      </c>
      <c r="P250" t="str" cm="1">
        <f t="array" ref="P250">_xlfn.IFS(D250&lt;=40000,"1. Up to 40K",D250&lt;=60000,"2. 40-60K",D250&lt;=80000,"3. 60-80K",TRUE,"4. Over 80K")</f>
        <v>1. Up to 40K</v>
      </c>
    </row>
    <row r="251" spans="1:16"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c r="O251">
        <f t="shared" si="3"/>
        <v>1</v>
      </c>
      <c r="P251" t="str" cm="1">
        <f t="array" ref="P251">_xlfn.IFS(D251&lt;=40000,"1. Up to 40K",D251&lt;=60000,"2. 40-60K",D251&lt;=80000,"3. 60-80K",TRUE,"4. Over 80K")</f>
        <v>3. 60-80K</v>
      </c>
    </row>
    <row r="252" spans="1:16"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c r="O252">
        <f t="shared" si="3"/>
        <v>1</v>
      </c>
      <c r="P252" t="str" cm="1">
        <f t="array" ref="P252">_xlfn.IFS(D252&lt;=40000,"1. Up to 40K",D252&lt;=60000,"2. 40-60K",D252&lt;=80000,"3. 60-80K",TRUE,"4. Over 80K")</f>
        <v>4. Over 80K</v>
      </c>
    </row>
    <row r="253" spans="1:16"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c r="O253">
        <f t="shared" si="3"/>
        <v>0</v>
      </c>
      <c r="P253" t="str" cm="1">
        <f t="array" ref="P253">_xlfn.IFS(D253&lt;=40000,"1. Up to 40K",D253&lt;=60000,"2. 40-60K",D253&lt;=80000,"3. 60-80K",TRUE,"4. Over 80K")</f>
        <v>4. Over 80K</v>
      </c>
    </row>
    <row r="254" spans="1:16"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c r="O254">
        <f t="shared" si="3"/>
        <v>0</v>
      </c>
      <c r="P254" t="str" cm="1">
        <f t="array" ref="P254">_xlfn.IFS(D254&lt;=40000,"1. Up to 40K",D254&lt;=60000,"2. 40-60K",D254&lt;=80000,"3. 60-80K",TRUE,"4. Over 80K")</f>
        <v>2. 40-60K</v>
      </c>
    </row>
    <row r="255" spans="1:16" x14ac:dyDescent="0.25">
      <c r="A255">
        <v>20598</v>
      </c>
      <c r="B255" t="s">
        <v>50</v>
      </c>
      <c r="C255" t="s">
        <v>53</v>
      </c>
      <c r="D255" s="1">
        <v>100000</v>
      </c>
      <c r="E255">
        <v>3</v>
      </c>
      <c r="F255" t="s">
        <v>29</v>
      </c>
      <c r="G255" t="s">
        <v>21</v>
      </c>
      <c r="H255" t="s">
        <v>15</v>
      </c>
      <c r="I255">
        <v>0</v>
      </c>
      <c r="J255" t="s">
        <v>72</v>
      </c>
      <c r="K255" t="s">
        <v>17</v>
      </c>
      <c r="L255">
        <v>59</v>
      </c>
      <c r="M255" t="str" cm="1">
        <f t="array" ref="M255">_xlfn.IFS(L255&lt;31, "Young Adult", L255&lt;=55, "Middle Age", L255&gt;55, "Old")</f>
        <v>Old</v>
      </c>
      <c r="N255" t="s">
        <v>15</v>
      </c>
      <c r="O255">
        <f t="shared" si="3"/>
        <v>1</v>
      </c>
      <c r="P255" t="str" cm="1">
        <f t="array" ref="P255">_xlfn.IFS(D255&lt;=40000,"1. Up to 40K",D255&lt;=60000,"2. 40-60K",D255&lt;=80000,"3. 60-80K",TRUE,"4. Over 80K")</f>
        <v>4. Over 80K</v>
      </c>
    </row>
    <row r="256" spans="1:16"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c r="O256">
        <f t="shared" si="3"/>
        <v>0</v>
      </c>
      <c r="P256" t="str" cm="1">
        <f t="array" ref="P256">_xlfn.IFS(D256&lt;=40000,"1. Up to 40K",D256&lt;=60000,"2. 40-60K",D256&lt;=80000,"3. 60-80K",TRUE,"4. Over 80K")</f>
        <v>1. Up to 40K</v>
      </c>
    </row>
    <row r="257" spans="1:16"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c r="O257">
        <f t="shared" si="3"/>
        <v>1</v>
      </c>
      <c r="P257" t="str" cm="1">
        <f t="array" ref="P257">_xlfn.IFS(D257&lt;=40000,"1. Up to 40K",D257&lt;=60000,"2. 40-60K",D257&lt;=80000,"3. 60-80K",TRUE,"4. Over 80K")</f>
        <v>1. Up to 40K</v>
      </c>
    </row>
    <row r="258" spans="1:16"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c r="O258">
        <f t="shared" si="3"/>
        <v>0</v>
      </c>
      <c r="P258" t="str" cm="1">
        <f t="array" ref="P258">_xlfn.IFS(D258&lt;=40000,"1. Up to 40K",D258&lt;=60000,"2. 40-60K",D258&lt;=80000,"3. 60-80K",TRUE,"4. Over 80K")</f>
        <v>1. Up to 40K</v>
      </c>
    </row>
    <row r="259" spans="1:16"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c r="O259">
        <f t="shared" ref="O259:O322" si="4">IF(N259="Yes",1,0)</f>
        <v>1</v>
      </c>
      <c r="P259" t="str" cm="1">
        <f t="array" ref="P259">_xlfn.IFS(D259&lt;=40000,"1. Up to 40K",D259&lt;=60000,"2. 40-60K",D259&lt;=80000,"3. 60-80K",TRUE,"4. Over 80K")</f>
        <v>2. 40-60K</v>
      </c>
    </row>
    <row r="260" spans="1:16" x14ac:dyDescent="0.25">
      <c r="A260">
        <v>14193</v>
      </c>
      <c r="B260" t="s">
        <v>51</v>
      </c>
      <c r="C260" t="s">
        <v>52</v>
      </c>
      <c r="D260" s="1">
        <v>100000</v>
      </c>
      <c r="E260">
        <v>3</v>
      </c>
      <c r="F260" t="s">
        <v>19</v>
      </c>
      <c r="G260" t="s">
        <v>28</v>
      </c>
      <c r="H260" t="s">
        <v>15</v>
      </c>
      <c r="I260">
        <v>4</v>
      </c>
      <c r="J260" t="s">
        <v>72</v>
      </c>
      <c r="K260" t="s">
        <v>17</v>
      </c>
      <c r="L260">
        <v>56</v>
      </c>
      <c r="M260" t="str" cm="1">
        <f t="array" ref="M260">_xlfn.IFS(L260&lt;31, "Young Adult", L260&lt;=55, "Middle Age", L260&gt;55, "Old")</f>
        <v>Old</v>
      </c>
      <c r="N260" t="s">
        <v>18</v>
      </c>
      <c r="O260">
        <f t="shared" si="4"/>
        <v>0</v>
      </c>
      <c r="P260" t="str" cm="1">
        <f t="array" ref="P260">_xlfn.IFS(D260&lt;=40000,"1. Up to 40K",D260&lt;=60000,"2. 40-60K",D260&lt;=80000,"3. 60-80K",TRUE,"4. Over 80K")</f>
        <v>4. Over 80K</v>
      </c>
    </row>
    <row r="261" spans="1:16"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c r="O261">
        <f t="shared" si="4"/>
        <v>1</v>
      </c>
      <c r="P261" t="str" cm="1">
        <f t="array" ref="P261">_xlfn.IFS(D261&lt;=40000,"1. Up to 40K",D261&lt;=60000,"2. 40-60K",D261&lt;=80000,"3. 60-80K",TRUE,"4. Over 80K")</f>
        <v>4. Over 80K</v>
      </c>
    </row>
    <row r="262" spans="1:16"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c r="O262">
        <f t="shared" si="4"/>
        <v>0</v>
      </c>
      <c r="P262" t="str" cm="1">
        <f t="array" ref="P262">_xlfn.IFS(D262&lt;=40000,"1. Up to 40K",D262&lt;=60000,"2. 40-60K",D262&lt;=80000,"3. 60-80K",TRUE,"4. Over 80K")</f>
        <v>1. Up to 40K</v>
      </c>
    </row>
    <row r="263" spans="1:16"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c r="O263">
        <f t="shared" si="4"/>
        <v>1</v>
      </c>
      <c r="P263" t="str" cm="1">
        <f t="array" ref="P263">_xlfn.IFS(D263&lt;=40000,"1. Up to 40K",D263&lt;=60000,"2. 40-60K",D263&lt;=80000,"3. 60-80K",TRUE,"4. Over 80K")</f>
        <v>1. Up to 40K</v>
      </c>
    </row>
    <row r="264" spans="1:16"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c r="O264">
        <f t="shared" si="4"/>
        <v>0</v>
      </c>
      <c r="P264" t="str" cm="1">
        <f t="array" ref="P264">_xlfn.IFS(D264&lt;=40000,"1. Up to 40K",D264&lt;=60000,"2. 40-60K",D264&lt;=80000,"3. 60-80K",TRUE,"4. Over 80K")</f>
        <v>1. Up to 40K</v>
      </c>
    </row>
    <row r="265" spans="1:16" x14ac:dyDescent="0.25">
      <c r="A265">
        <v>23419</v>
      </c>
      <c r="B265" t="s">
        <v>51</v>
      </c>
      <c r="C265" t="s">
        <v>52</v>
      </c>
      <c r="D265" s="1">
        <v>70000</v>
      </c>
      <c r="E265">
        <v>5</v>
      </c>
      <c r="F265" t="s">
        <v>13</v>
      </c>
      <c r="G265" t="s">
        <v>21</v>
      </c>
      <c r="H265" t="s">
        <v>15</v>
      </c>
      <c r="I265">
        <v>3</v>
      </c>
      <c r="J265" t="s">
        <v>72</v>
      </c>
      <c r="K265" t="s">
        <v>24</v>
      </c>
      <c r="L265">
        <v>39</v>
      </c>
      <c r="M265" t="str" cm="1">
        <f t="array" ref="M265">_xlfn.IFS(L265&lt;31, "Young Adult", L265&lt;=55, "Middle Age", L265&gt;55, "Old")</f>
        <v>Middle Age</v>
      </c>
      <c r="N265" t="s">
        <v>18</v>
      </c>
      <c r="O265">
        <f t="shared" si="4"/>
        <v>0</v>
      </c>
      <c r="P265" t="str" cm="1">
        <f t="array" ref="P265">_xlfn.IFS(D265&lt;=40000,"1. Up to 40K",D265&lt;=60000,"2. 40-60K",D265&lt;=80000,"3. 60-80K",TRUE,"4. Over 80K")</f>
        <v>3. 60-80K</v>
      </c>
    </row>
    <row r="266" spans="1:16"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c r="O266">
        <f t="shared" si="4"/>
        <v>1</v>
      </c>
      <c r="P266" t="str" cm="1">
        <f t="array" ref="P266">_xlfn.IFS(D266&lt;=40000,"1. Up to 40K",D266&lt;=60000,"2. 40-60K",D266&lt;=80000,"3. 60-80K",TRUE,"4. Over 80K")</f>
        <v>1. Up to 40K</v>
      </c>
    </row>
    <row r="267" spans="1:16"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c r="O267">
        <f t="shared" si="4"/>
        <v>0</v>
      </c>
      <c r="P267" t="str" cm="1">
        <f t="array" ref="P267">_xlfn.IFS(D267&lt;=40000,"1. Up to 40K",D267&lt;=60000,"2. 40-60K",D267&lt;=80000,"3. 60-80K",TRUE,"4. Over 80K")</f>
        <v>1. Up to 40K</v>
      </c>
    </row>
    <row r="268" spans="1:16"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c r="O268">
        <f t="shared" si="4"/>
        <v>0</v>
      </c>
      <c r="P268" t="str" cm="1">
        <f t="array" ref="P268">_xlfn.IFS(D268&lt;=40000,"1. Up to 40K",D268&lt;=60000,"2. 40-60K",D268&lt;=80000,"3. 60-80K",TRUE,"4. Over 80K")</f>
        <v>1. Up to 40K</v>
      </c>
    </row>
    <row r="269" spans="1:16"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c r="O269">
        <f t="shared" si="4"/>
        <v>1</v>
      </c>
      <c r="P269" t="str" cm="1">
        <f t="array" ref="P269">_xlfn.IFS(D269&lt;=40000,"1. Up to 40K",D269&lt;=60000,"2. 40-60K",D269&lt;=80000,"3. 60-80K",TRUE,"4. Over 80K")</f>
        <v>4. Over 80K</v>
      </c>
    </row>
    <row r="270" spans="1:16"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c r="O270">
        <f t="shared" si="4"/>
        <v>0</v>
      </c>
      <c r="P270" t="str" cm="1">
        <f t="array" ref="P270">_xlfn.IFS(D270&lt;=40000,"1. Up to 40K",D270&lt;=60000,"2. 40-60K",D270&lt;=80000,"3. 60-80K",TRUE,"4. Over 80K")</f>
        <v>3. 60-80K</v>
      </c>
    </row>
    <row r="271" spans="1:16"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c r="O271">
        <f t="shared" si="4"/>
        <v>1</v>
      </c>
      <c r="P271" t="str" cm="1">
        <f t="array" ref="P271">_xlfn.IFS(D271&lt;=40000,"1. Up to 40K",D271&lt;=60000,"2. 40-60K",D271&lt;=80000,"3. 60-80K",TRUE,"4. Over 80K")</f>
        <v>2. 40-60K</v>
      </c>
    </row>
    <row r="272" spans="1:16"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c r="O272">
        <f t="shared" si="4"/>
        <v>1</v>
      </c>
      <c r="P272" t="str" cm="1">
        <f t="array" ref="P272">_xlfn.IFS(D272&lt;=40000,"1. Up to 40K",D272&lt;=60000,"2. 40-60K",D272&lt;=80000,"3. 60-80K",TRUE,"4. Over 80K")</f>
        <v>1. Up to 40K</v>
      </c>
    </row>
    <row r="273" spans="1:16"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c r="O273">
        <f t="shared" si="4"/>
        <v>0</v>
      </c>
      <c r="P273" t="str" cm="1">
        <f t="array" ref="P273">_xlfn.IFS(D273&lt;=40000,"1. Up to 40K",D273&lt;=60000,"2. 40-60K",D273&lt;=80000,"3. 60-80K",TRUE,"4. Over 80K")</f>
        <v>1. Up to 40K</v>
      </c>
    </row>
    <row r="274" spans="1:16"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c r="O274">
        <f t="shared" si="4"/>
        <v>1</v>
      </c>
      <c r="P274" t="str" cm="1">
        <f t="array" ref="P274">_xlfn.IFS(D274&lt;=40000,"1. Up to 40K",D274&lt;=60000,"2. 40-60K",D274&lt;=80000,"3. 60-80K",TRUE,"4. Over 80K")</f>
        <v>1. Up to 40K</v>
      </c>
    </row>
    <row r="275" spans="1:16"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c r="O275">
        <f t="shared" si="4"/>
        <v>0</v>
      </c>
      <c r="P275" t="str" cm="1">
        <f t="array" ref="P275">_xlfn.IFS(D275&lt;=40000,"1. Up to 40K",D275&lt;=60000,"2. 40-60K",D275&lt;=80000,"3. 60-80K",TRUE,"4. Over 80K")</f>
        <v>1. Up to 40K</v>
      </c>
    </row>
    <row r="276" spans="1:16"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c r="O276">
        <f t="shared" si="4"/>
        <v>1</v>
      </c>
      <c r="P276" t="str" cm="1">
        <f t="array" ref="P276">_xlfn.IFS(D276&lt;=40000,"1. Up to 40K",D276&lt;=60000,"2. 40-60K",D276&lt;=80000,"3. 60-80K",TRUE,"4. Over 80K")</f>
        <v>1. Up to 40K</v>
      </c>
    </row>
    <row r="277" spans="1:16"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c r="O277">
        <f t="shared" si="4"/>
        <v>1</v>
      </c>
      <c r="P277" t="str" cm="1">
        <f t="array" ref="P277">_xlfn.IFS(D277&lt;=40000,"1. Up to 40K",D277&lt;=60000,"2. 40-60K",D277&lt;=80000,"3. 60-80K",TRUE,"4. Over 80K")</f>
        <v>4. Over 80K</v>
      </c>
    </row>
    <row r="278" spans="1:16"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c r="O278">
        <f t="shared" si="4"/>
        <v>0</v>
      </c>
      <c r="P278" t="str" cm="1">
        <f t="array" ref="P278">_xlfn.IFS(D278&lt;=40000,"1. Up to 40K",D278&lt;=60000,"2. 40-60K",D278&lt;=80000,"3. 60-80K",TRUE,"4. Over 80K")</f>
        <v>1. Up to 40K</v>
      </c>
    </row>
    <row r="279" spans="1:16"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c r="O279">
        <f t="shared" si="4"/>
        <v>1</v>
      </c>
      <c r="P279" t="str" cm="1">
        <f t="array" ref="P279">_xlfn.IFS(D279&lt;=40000,"1. Up to 40K",D279&lt;=60000,"2. 40-60K",D279&lt;=80000,"3. 60-80K",TRUE,"4. Over 80K")</f>
        <v>1. Up to 40K</v>
      </c>
    </row>
    <row r="280" spans="1:16" x14ac:dyDescent="0.25">
      <c r="A280">
        <v>20625</v>
      </c>
      <c r="B280" t="s">
        <v>50</v>
      </c>
      <c r="C280" t="s">
        <v>53</v>
      </c>
      <c r="D280" s="1">
        <v>100000</v>
      </c>
      <c r="E280">
        <v>0</v>
      </c>
      <c r="F280" t="s">
        <v>27</v>
      </c>
      <c r="G280" t="s">
        <v>28</v>
      </c>
      <c r="H280" t="s">
        <v>15</v>
      </c>
      <c r="I280">
        <v>3</v>
      </c>
      <c r="J280" t="s">
        <v>72</v>
      </c>
      <c r="K280" t="s">
        <v>24</v>
      </c>
      <c r="L280">
        <v>35</v>
      </c>
      <c r="M280" t="str" cm="1">
        <f t="array" ref="M280">_xlfn.IFS(L280&lt;31, "Young Adult", L280&lt;=55, "Middle Age", L280&gt;55, "Old")</f>
        <v>Middle Age</v>
      </c>
      <c r="N280" t="s">
        <v>15</v>
      </c>
      <c r="O280">
        <f t="shared" si="4"/>
        <v>1</v>
      </c>
      <c r="P280" t="str" cm="1">
        <f t="array" ref="P280">_xlfn.IFS(D280&lt;=40000,"1. Up to 40K",D280&lt;=60000,"2. 40-60K",D280&lt;=80000,"3. 60-80K",TRUE,"4. Over 80K")</f>
        <v>4. Over 80K</v>
      </c>
    </row>
    <row r="281" spans="1:16"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c r="O281">
        <f t="shared" si="4"/>
        <v>1</v>
      </c>
      <c r="P281" t="str" cm="1">
        <f t="array" ref="P281">_xlfn.IFS(D281&lt;=40000,"1. Up to 40K",D281&lt;=60000,"2. 40-60K",D281&lt;=80000,"3. 60-80K",TRUE,"4. Over 80K")</f>
        <v>1. Up to 40K</v>
      </c>
    </row>
    <row r="282" spans="1:16"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c r="O282">
        <f t="shared" si="4"/>
        <v>0</v>
      </c>
      <c r="P282" t="str" cm="1">
        <f t="array" ref="P282">_xlfn.IFS(D282&lt;=40000,"1. Up to 40K",D282&lt;=60000,"2. 40-60K",D282&lt;=80000,"3. 60-80K",TRUE,"4. Over 80K")</f>
        <v>1. Up to 40K</v>
      </c>
    </row>
    <row r="283" spans="1:16"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c r="O283">
        <f t="shared" si="4"/>
        <v>0</v>
      </c>
      <c r="P283" t="str" cm="1">
        <f t="array" ref="P283">_xlfn.IFS(D283&lt;=40000,"1. Up to 40K",D283&lt;=60000,"2. 40-60K",D283&lt;=80000,"3. 60-80K",TRUE,"4. Over 80K")</f>
        <v>1. Up to 40K</v>
      </c>
    </row>
    <row r="284" spans="1:16"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c r="O284">
        <f t="shared" si="4"/>
        <v>0</v>
      </c>
      <c r="P284" t="str" cm="1">
        <f t="array" ref="P284">_xlfn.IFS(D284&lt;=40000,"1. Up to 40K",D284&lt;=60000,"2. 40-60K",D284&lt;=80000,"3. 60-80K",TRUE,"4. Over 80K")</f>
        <v>1. Up to 40K</v>
      </c>
    </row>
    <row r="285" spans="1:16"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c r="O285">
        <f t="shared" si="4"/>
        <v>0</v>
      </c>
      <c r="P285" t="str" cm="1">
        <f t="array" ref="P285">_xlfn.IFS(D285&lt;=40000,"1. Up to 40K",D285&lt;=60000,"2. 40-60K",D285&lt;=80000,"3. 60-80K",TRUE,"4. Over 80K")</f>
        <v>3. 60-80K</v>
      </c>
    </row>
    <row r="286" spans="1:16"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c r="O286">
        <f t="shared" si="4"/>
        <v>0</v>
      </c>
      <c r="P286" t="str" cm="1">
        <f t="array" ref="P286">_xlfn.IFS(D286&lt;=40000,"1. Up to 40K",D286&lt;=60000,"2. 40-60K",D286&lt;=80000,"3. 60-80K",TRUE,"4. Over 80K")</f>
        <v>1. Up to 40K</v>
      </c>
    </row>
    <row r="287" spans="1:16"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c r="O287">
        <f t="shared" si="4"/>
        <v>0</v>
      </c>
      <c r="P287" t="str" cm="1">
        <f t="array" ref="P287">_xlfn.IFS(D287&lt;=40000,"1. Up to 40K",D287&lt;=60000,"2. 40-60K",D287&lt;=80000,"3. 60-80K",TRUE,"4. Over 80K")</f>
        <v>2. 40-60K</v>
      </c>
    </row>
    <row r="288" spans="1:16"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c r="O288">
        <f t="shared" si="4"/>
        <v>0</v>
      </c>
      <c r="P288" t="str" cm="1">
        <f t="array" ref="P288">_xlfn.IFS(D288&lt;=40000,"1. Up to 40K",D288&lt;=60000,"2. 40-60K",D288&lt;=80000,"3. 60-80K",TRUE,"4. Over 80K")</f>
        <v>4. Over 80K</v>
      </c>
    </row>
    <row r="289" spans="1:16"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c r="O289">
        <f t="shared" si="4"/>
        <v>1</v>
      </c>
      <c r="P289" t="str" cm="1">
        <f t="array" ref="P289">_xlfn.IFS(D289&lt;=40000,"1. Up to 40K",D289&lt;=60000,"2. 40-60K",D289&lt;=80000,"3. 60-80K",TRUE,"4. Over 80K")</f>
        <v>1. Up to 40K</v>
      </c>
    </row>
    <row r="290" spans="1:16"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c r="O290">
        <f t="shared" si="4"/>
        <v>0</v>
      </c>
      <c r="P290" t="str" cm="1">
        <f t="array" ref="P290">_xlfn.IFS(D290&lt;=40000,"1. Up to 40K",D290&lt;=60000,"2. 40-60K",D290&lt;=80000,"3. 60-80K",TRUE,"4. Over 80K")</f>
        <v>4. Over 80K</v>
      </c>
    </row>
    <row r="291" spans="1:16"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c r="O291">
        <f t="shared" si="4"/>
        <v>1</v>
      </c>
      <c r="P291" t="str" cm="1">
        <f t="array" ref="P291">_xlfn.IFS(D291&lt;=40000,"1. Up to 40K",D291&lt;=60000,"2. 40-60K",D291&lt;=80000,"3. 60-80K",TRUE,"4. Over 80K")</f>
        <v>1. Up to 40K</v>
      </c>
    </row>
    <row r="292" spans="1:16"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c r="O292">
        <f t="shared" si="4"/>
        <v>1</v>
      </c>
      <c r="P292" t="str" cm="1">
        <f t="array" ref="P292">_xlfn.IFS(D292&lt;=40000,"1. Up to 40K",D292&lt;=60000,"2. 40-60K",D292&lt;=80000,"3. 60-80K",TRUE,"4. Over 80K")</f>
        <v>2. 40-60K</v>
      </c>
    </row>
    <row r="293" spans="1:16"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c r="O293">
        <f t="shared" si="4"/>
        <v>1</v>
      </c>
      <c r="P293" t="str" cm="1">
        <f t="array" ref="P293">_xlfn.IFS(D293&lt;=40000,"1. Up to 40K",D293&lt;=60000,"2. 40-60K",D293&lt;=80000,"3. 60-80K",TRUE,"4. Over 80K")</f>
        <v>1. Up to 40K</v>
      </c>
    </row>
    <row r="294" spans="1:16"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c r="O294">
        <f t="shared" si="4"/>
        <v>1</v>
      </c>
      <c r="P294" t="str" cm="1">
        <f t="array" ref="P294">_xlfn.IFS(D294&lt;=40000,"1. Up to 40K",D294&lt;=60000,"2. 40-60K",D294&lt;=80000,"3. 60-80K",TRUE,"4. Over 80K")</f>
        <v>1. Up to 40K</v>
      </c>
    </row>
    <row r="295" spans="1:16"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c r="O295">
        <f t="shared" si="4"/>
        <v>1</v>
      </c>
      <c r="P295" t="str" cm="1">
        <f t="array" ref="P295">_xlfn.IFS(D295&lt;=40000,"1. Up to 40K",D295&lt;=60000,"2. 40-60K",D295&lt;=80000,"3. 60-80K",TRUE,"4. Over 80K")</f>
        <v>1. Up to 40K</v>
      </c>
    </row>
    <row r="296" spans="1:16"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c r="O296">
        <f t="shared" si="4"/>
        <v>1</v>
      </c>
      <c r="P296" t="str" cm="1">
        <f t="array" ref="P296">_xlfn.IFS(D296&lt;=40000,"1. Up to 40K",D296&lt;=60000,"2. 40-60K",D296&lt;=80000,"3. 60-80K",TRUE,"4. Over 80K")</f>
        <v>1. Up to 40K</v>
      </c>
    </row>
    <row r="297" spans="1:16" x14ac:dyDescent="0.25">
      <c r="A297">
        <v>21557</v>
      </c>
      <c r="B297" t="s">
        <v>51</v>
      </c>
      <c r="C297" t="s">
        <v>52</v>
      </c>
      <c r="D297" s="1">
        <v>110000</v>
      </c>
      <c r="E297">
        <v>0</v>
      </c>
      <c r="F297" t="s">
        <v>19</v>
      </c>
      <c r="G297" t="s">
        <v>28</v>
      </c>
      <c r="H297" t="s">
        <v>15</v>
      </c>
      <c r="I297">
        <v>3</v>
      </c>
      <c r="J297" t="s">
        <v>72</v>
      </c>
      <c r="K297" t="s">
        <v>24</v>
      </c>
      <c r="L297">
        <v>32</v>
      </c>
      <c r="M297" t="str" cm="1">
        <f t="array" ref="M297">_xlfn.IFS(L297&lt;31, "Young Adult", L297&lt;=55, "Middle Age", L297&gt;55, "Old")</f>
        <v>Middle Age</v>
      </c>
      <c r="N297" t="s">
        <v>15</v>
      </c>
      <c r="O297">
        <f t="shared" si="4"/>
        <v>1</v>
      </c>
      <c r="P297" t="str" cm="1">
        <f t="array" ref="P297">_xlfn.IFS(D297&lt;=40000,"1. Up to 40K",D297&lt;=60000,"2. 40-60K",D297&lt;=80000,"3. 60-80K",TRUE,"4. Over 80K")</f>
        <v>4. Over 80K</v>
      </c>
    </row>
    <row r="298" spans="1:16"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c r="O298">
        <f t="shared" si="4"/>
        <v>1</v>
      </c>
      <c r="P298" t="str" cm="1">
        <f t="array" ref="P298">_xlfn.IFS(D298&lt;=40000,"1. Up to 40K",D298&lt;=60000,"2. 40-60K",D298&lt;=80000,"3. 60-80K",TRUE,"4. Over 80K")</f>
        <v>2. 40-60K</v>
      </c>
    </row>
    <row r="299" spans="1:16"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c r="O299">
        <f t="shared" si="4"/>
        <v>1</v>
      </c>
      <c r="P299" t="str" cm="1">
        <f t="array" ref="P299">_xlfn.IFS(D299&lt;=40000,"1. Up to 40K",D299&lt;=60000,"2. 40-60K",D299&lt;=80000,"3. 60-80K",TRUE,"4. Over 80K")</f>
        <v>4. Over 80K</v>
      </c>
    </row>
    <row r="300" spans="1:16"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c r="O300">
        <f t="shared" si="4"/>
        <v>1</v>
      </c>
      <c r="P300" t="str" cm="1">
        <f t="array" ref="P300">_xlfn.IFS(D300&lt;=40000,"1. Up to 40K",D300&lt;=60000,"2. 40-60K",D300&lt;=80000,"3. 60-80K",TRUE,"4. Over 80K")</f>
        <v>4. Over 80K</v>
      </c>
    </row>
    <row r="301" spans="1:16"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c r="O301">
        <f t="shared" si="4"/>
        <v>0</v>
      </c>
      <c r="P301" t="str" cm="1">
        <f t="array" ref="P301">_xlfn.IFS(D301&lt;=40000,"1. Up to 40K",D301&lt;=60000,"2. 40-60K",D301&lt;=80000,"3. 60-80K",TRUE,"4. Over 80K")</f>
        <v>1. Up to 40K</v>
      </c>
    </row>
    <row r="302" spans="1:16"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c r="O302">
        <f t="shared" si="4"/>
        <v>0</v>
      </c>
      <c r="P302" t="str" cm="1">
        <f t="array" ref="P302">_xlfn.IFS(D302&lt;=40000,"1. Up to 40K",D302&lt;=60000,"2. 40-60K",D302&lt;=80000,"3. 60-80K",TRUE,"4. Over 80K")</f>
        <v>1. Up to 40K</v>
      </c>
    </row>
    <row r="303" spans="1:16"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c r="O303">
        <f t="shared" si="4"/>
        <v>1</v>
      </c>
      <c r="P303" t="str" cm="1">
        <f t="array" ref="P303">_xlfn.IFS(D303&lt;=40000,"1. Up to 40K",D303&lt;=60000,"2. 40-60K",D303&lt;=80000,"3. 60-80K",TRUE,"4. Over 80K")</f>
        <v>1. Up to 40K</v>
      </c>
    </row>
    <row r="304" spans="1:16"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c r="O304">
        <f t="shared" si="4"/>
        <v>1</v>
      </c>
      <c r="P304" t="str" cm="1">
        <f t="array" ref="P304">_xlfn.IFS(D304&lt;=40000,"1. Up to 40K",D304&lt;=60000,"2. 40-60K",D304&lt;=80000,"3. 60-80K",TRUE,"4. Over 80K")</f>
        <v>1. Up to 40K</v>
      </c>
    </row>
    <row r="305" spans="1:16"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c r="O305">
        <f t="shared" si="4"/>
        <v>0</v>
      </c>
      <c r="P305" t="str" cm="1">
        <f t="array" ref="P305">_xlfn.IFS(D305&lt;=40000,"1. Up to 40K",D305&lt;=60000,"2. 40-60K",D305&lt;=80000,"3. 60-80K",TRUE,"4. Over 80K")</f>
        <v>1. Up to 40K</v>
      </c>
    </row>
    <row r="306" spans="1:16"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c r="O306">
        <f t="shared" si="4"/>
        <v>1</v>
      </c>
      <c r="P306" t="str" cm="1">
        <f t="array" ref="P306">_xlfn.IFS(D306&lt;=40000,"1. Up to 40K",D306&lt;=60000,"2. 40-60K",D306&lt;=80000,"3. 60-80K",TRUE,"4. Over 80K")</f>
        <v>3. 60-80K</v>
      </c>
    </row>
    <row r="307" spans="1:16"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c r="O307">
        <f t="shared" si="4"/>
        <v>0</v>
      </c>
      <c r="P307" t="str" cm="1">
        <f t="array" ref="P307">_xlfn.IFS(D307&lt;=40000,"1. Up to 40K",D307&lt;=60000,"2. 40-60K",D307&lt;=80000,"3. 60-80K",TRUE,"4. Over 80K")</f>
        <v>1. Up to 40K</v>
      </c>
    </row>
    <row r="308" spans="1:16"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c r="O308">
        <f t="shared" si="4"/>
        <v>1</v>
      </c>
      <c r="P308" t="str" cm="1">
        <f t="array" ref="P308">_xlfn.IFS(D308&lt;=40000,"1. Up to 40K",D308&lt;=60000,"2. 40-60K",D308&lt;=80000,"3. 60-80K",TRUE,"4. Over 80K")</f>
        <v>4. Over 80K</v>
      </c>
    </row>
    <row r="309" spans="1:16"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c r="O309">
        <f t="shared" si="4"/>
        <v>0</v>
      </c>
      <c r="P309" t="str" cm="1">
        <f t="array" ref="P309">_xlfn.IFS(D309&lt;=40000,"1. Up to 40K",D309&lt;=60000,"2. 40-60K",D309&lt;=80000,"3. 60-80K",TRUE,"4. Over 80K")</f>
        <v>1. Up to 40K</v>
      </c>
    </row>
    <row r="310" spans="1:16"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c r="O310">
        <f t="shared" si="4"/>
        <v>1</v>
      </c>
      <c r="P310" t="str" cm="1">
        <f t="array" ref="P310">_xlfn.IFS(D310&lt;=40000,"1. Up to 40K",D310&lt;=60000,"2. 40-60K",D310&lt;=80000,"3. 60-80K",TRUE,"4. Over 80K")</f>
        <v>1. Up to 40K</v>
      </c>
    </row>
    <row r="311" spans="1:16"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c r="O311">
        <f t="shared" si="4"/>
        <v>1</v>
      </c>
      <c r="P311" t="str" cm="1">
        <f t="array" ref="P311">_xlfn.IFS(D311&lt;=40000,"1. Up to 40K",D311&lt;=60000,"2. 40-60K",D311&lt;=80000,"3. 60-80K",TRUE,"4. Over 80K")</f>
        <v>1. Up to 40K</v>
      </c>
    </row>
    <row r="312" spans="1:16"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c r="O312">
        <f t="shared" si="4"/>
        <v>0</v>
      </c>
      <c r="P312" t="str" cm="1">
        <f t="array" ref="P312">_xlfn.IFS(D312&lt;=40000,"1. Up to 40K",D312&lt;=60000,"2. 40-60K",D312&lt;=80000,"3. 60-80K",TRUE,"4. Over 80K")</f>
        <v>4. Over 80K</v>
      </c>
    </row>
    <row r="313" spans="1:16"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c r="O313">
        <f t="shared" si="4"/>
        <v>0</v>
      </c>
      <c r="P313" t="str" cm="1">
        <f t="array" ref="P313">_xlfn.IFS(D313&lt;=40000,"1. Up to 40K",D313&lt;=60000,"2. 40-60K",D313&lt;=80000,"3. 60-80K",TRUE,"4. Over 80K")</f>
        <v>2. 40-60K</v>
      </c>
    </row>
    <row r="314" spans="1:16"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c r="O314">
        <f t="shared" si="4"/>
        <v>1</v>
      </c>
      <c r="P314" t="str" cm="1">
        <f t="array" ref="P314">_xlfn.IFS(D314&lt;=40000,"1. Up to 40K",D314&lt;=60000,"2. 40-60K",D314&lt;=80000,"3. 60-80K",TRUE,"4. Over 80K")</f>
        <v>1. Up to 40K</v>
      </c>
    </row>
    <row r="315" spans="1:16"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c r="O315">
        <f t="shared" si="4"/>
        <v>1</v>
      </c>
      <c r="P315" t="str" cm="1">
        <f t="array" ref="P315">_xlfn.IFS(D315&lt;=40000,"1. Up to 40K",D315&lt;=60000,"2. 40-60K",D315&lt;=80000,"3. 60-80K",TRUE,"4. Over 80K")</f>
        <v>1. Up to 40K</v>
      </c>
    </row>
    <row r="316" spans="1:16"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c r="O316">
        <f t="shared" si="4"/>
        <v>1</v>
      </c>
      <c r="P316" t="str" cm="1">
        <f t="array" ref="P316">_xlfn.IFS(D316&lt;=40000,"1. Up to 40K",D316&lt;=60000,"2. 40-60K",D316&lt;=80000,"3. 60-80K",TRUE,"4. Over 80K")</f>
        <v>3. 60-80K</v>
      </c>
    </row>
    <row r="317" spans="1:16"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c r="O317">
        <f t="shared" si="4"/>
        <v>0</v>
      </c>
      <c r="P317" t="str" cm="1">
        <f t="array" ref="P317">_xlfn.IFS(D317&lt;=40000,"1. Up to 40K",D317&lt;=60000,"2. 40-60K",D317&lt;=80000,"3. 60-80K",TRUE,"4. Over 80K")</f>
        <v>3. 60-80K</v>
      </c>
    </row>
    <row r="318" spans="1:16"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c r="O318">
        <f t="shared" si="4"/>
        <v>1</v>
      </c>
      <c r="P318" t="str" cm="1">
        <f t="array" ref="P318">_xlfn.IFS(D318&lt;=40000,"1. Up to 40K",D318&lt;=60000,"2. 40-60K",D318&lt;=80000,"3. 60-80K",TRUE,"4. Over 80K")</f>
        <v>2. 40-60K</v>
      </c>
    </row>
    <row r="319" spans="1:16"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c r="O319">
        <f t="shared" si="4"/>
        <v>1</v>
      </c>
      <c r="P319" t="str" cm="1">
        <f t="array" ref="P319">_xlfn.IFS(D319&lt;=40000,"1. Up to 40K",D319&lt;=60000,"2. 40-60K",D319&lt;=80000,"3. 60-80K",TRUE,"4. Over 80K")</f>
        <v>1. Up to 40K</v>
      </c>
    </row>
    <row r="320" spans="1:16" x14ac:dyDescent="0.25">
      <c r="A320">
        <v>19066</v>
      </c>
      <c r="B320" t="s">
        <v>50</v>
      </c>
      <c r="C320" t="s">
        <v>53</v>
      </c>
      <c r="D320" s="1">
        <v>130000</v>
      </c>
      <c r="E320">
        <v>4</v>
      </c>
      <c r="F320" t="s">
        <v>19</v>
      </c>
      <c r="G320" t="s">
        <v>21</v>
      </c>
      <c r="H320" t="s">
        <v>18</v>
      </c>
      <c r="I320">
        <v>3</v>
      </c>
      <c r="J320" t="s">
        <v>72</v>
      </c>
      <c r="K320" t="s">
        <v>17</v>
      </c>
      <c r="L320">
        <v>54</v>
      </c>
      <c r="M320" t="str" cm="1">
        <f t="array" ref="M320">_xlfn.IFS(L320&lt;31, "Young Adult", L320&lt;=55, "Middle Age", L320&gt;55, "Old")</f>
        <v>Middle Age</v>
      </c>
      <c r="N320" t="s">
        <v>18</v>
      </c>
      <c r="O320">
        <f t="shared" si="4"/>
        <v>0</v>
      </c>
      <c r="P320" t="str" cm="1">
        <f t="array" ref="P320">_xlfn.IFS(D320&lt;=40000,"1. Up to 40K",D320&lt;=60000,"2. 40-60K",D320&lt;=80000,"3. 60-80K",TRUE,"4. Over 80K")</f>
        <v>4. Over 80K</v>
      </c>
    </row>
    <row r="321" spans="1:16"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c r="O321">
        <f t="shared" si="4"/>
        <v>0</v>
      </c>
      <c r="P321" t="str" cm="1">
        <f t="array" ref="P321">_xlfn.IFS(D321&lt;=40000,"1. Up to 40K",D321&lt;=60000,"2. 40-60K",D321&lt;=80000,"3. 60-80K",TRUE,"4. Over 80K")</f>
        <v>1. Up to 40K</v>
      </c>
    </row>
    <row r="322" spans="1:16"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c r="O322">
        <f t="shared" si="4"/>
        <v>1</v>
      </c>
      <c r="P322" t="str" cm="1">
        <f t="array" ref="P322">_xlfn.IFS(D322&lt;=40000,"1. Up to 40K",D322&lt;=60000,"2. 40-60K",D322&lt;=80000,"3. 60-80K",TRUE,"4. Over 80K")</f>
        <v>4. Over 80K</v>
      </c>
    </row>
    <row r="323" spans="1:16"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c r="O323">
        <f t="shared" ref="O323:O386" si="5">IF(N323="Yes",1,0)</f>
        <v>1</v>
      </c>
      <c r="P323" t="str" cm="1">
        <f t="array" ref="P323">_xlfn.IFS(D323&lt;=40000,"1. Up to 40K",D323&lt;=60000,"2. 40-60K",D323&lt;=80000,"3. 60-80K",TRUE,"4. Over 80K")</f>
        <v>4. Over 80K</v>
      </c>
    </row>
    <row r="324" spans="1:16"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c r="O324">
        <f t="shared" si="5"/>
        <v>1</v>
      </c>
      <c r="P324" t="str" cm="1">
        <f t="array" ref="P324">_xlfn.IFS(D324&lt;=40000,"1. Up to 40K",D324&lt;=60000,"2. 40-60K",D324&lt;=80000,"3. 60-80K",TRUE,"4. Over 80K")</f>
        <v>1. Up to 40K</v>
      </c>
    </row>
    <row r="325" spans="1:16"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c r="O325">
        <f t="shared" si="5"/>
        <v>1</v>
      </c>
      <c r="P325" t="str" cm="1">
        <f t="array" ref="P325">_xlfn.IFS(D325&lt;=40000,"1. Up to 40K",D325&lt;=60000,"2. 40-60K",D325&lt;=80000,"3. 60-80K",TRUE,"4. Over 80K")</f>
        <v>1. Up to 40K</v>
      </c>
    </row>
    <row r="326" spans="1:16"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c r="O326">
        <f t="shared" si="5"/>
        <v>1</v>
      </c>
      <c r="P326" t="str" cm="1">
        <f t="array" ref="P326">_xlfn.IFS(D326&lt;=40000,"1. Up to 40K",D326&lt;=60000,"2. 40-60K",D326&lt;=80000,"3. 60-80K",TRUE,"4. Over 80K")</f>
        <v>4. Over 80K</v>
      </c>
    </row>
    <row r="327" spans="1:16"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c r="O327">
        <f t="shared" si="5"/>
        <v>1</v>
      </c>
      <c r="P327" t="str" cm="1">
        <f t="array" ref="P327">_xlfn.IFS(D327&lt;=40000,"1. Up to 40K",D327&lt;=60000,"2. 40-60K",D327&lt;=80000,"3. 60-80K",TRUE,"4. Over 80K")</f>
        <v>1. Up to 40K</v>
      </c>
    </row>
    <row r="328" spans="1:16"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c r="O328">
        <f t="shared" si="5"/>
        <v>1</v>
      </c>
      <c r="P328" t="str" cm="1">
        <f t="array" ref="P328">_xlfn.IFS(D328&lt;=40000,"1. Up to 40K",D328&lt;=60000,"2. 40-60K",D328&lt;=80000,"3. 60-80K",TRUE,"4. Over 80K")</f>
        <v>1. Up to 40K</v>
      </c>
    </row>
    <row r="329" spans="1:16"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c r="O329">
        <f t="shared" si="5"/>
        <v>0</v>
      </c>
      <c r="P329" t="str" cm="1">
        <f t="array" ref="P329">_xlfn.IFS(D329&lt;=40000,"1. Up to 40K",D329&lt;=60000,"2. 40-60K",D329&lt;=80000,"3. 60-80K",TRUE,"4. Over 80K")</f>
        <v>1. Up to 40K</v>
      </c>
    </row>
    <row r="330" spans="1:16"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c r="O330">
        <f t="shared" si="5"/>
        <v>0</v>
      </c>
      <c r="P330" t="str" cm="1">
        <f t="array" ref="P330">_xlfn.IFS(D330&lt;=40000,"1. Up to 40K",D330&lt;=60000,"2. 40-60K",D330&lt;=80000,"3. 60-80K",TRUE,"4. Over 80K")</f>
        <v>1. Up to 40K</v>
      </c>
    </row>
    <row r="331" spans="1:16" x14ac:dyDescent="0.25">
      <c r="A331">
        <v>12663</v>
      </c>
      <c r="B331" t="s">
        <v>50</v>
      </c>
      <c r="C331" t="s">
        <v>52</v>
      </c>
      <c r="D331" s="1">
        <v>90000</v>
      </c>
      <c r="E331">
        <v>5</v>
      </c>
      <c r="F331" t="s">
        <v>29</v>
      </c>
      <c r="G331" t="s">
        <v>14</v>
      </c>
      <c r="H331" t="s">
        <v>15</v>
      </c>
      <c r="I331">
        <v>2</v>
      </c>
      <c r="J331" t="s">
        <v>72</v>
      </c>
      <c r="K331" t="s">
        <v>17</v>
      </c>
      <c r="L331">
        <v>59</v>
      </c>
      <c r="M331" t="str" cm="1">
        <f t="array" ref="M331">_xlfn.IFS(L331&lt;31, "Young Adult", L331&lt;=55, "Middle Age", L331&gt;55, "Old")</f>
        <v>Old</v>
      </c>
      <c r="N331" t="s">
        <v>18</v>
      </c>
      <c r="O331">
        <f t="shared" si="5"/>
        <v>0</v>
      </c>
      <c r="P331" t="str" cm="1">
        <f t="array" ref="P331">_xlfn.IFS(D331&lt;=40000,"1. Up to 40K",D331&lt;=60000,"2. 40-60K",D331&lt;=80000,"3. 60-80K",TRUE,"4. Over 80K")</f>
        <v>4. Over 80K</v>
      </c>
    </row>
    <row r="332" spans="1:16" x14ac:dyDescent="0.25">
      <c r="A332">
        <v>24898</v>
      </c>
      <c r="B332" t="s">
        <v>51</v>
      </c>
      <c r="C332" t="s">
        <v>52</v>
      </c>
      <c r="D332" s="1">
        <v>80000</v>
      </c>
      <c r="E332">
        <v>0</v>
      </c>
      <c r="F332" t="s">
        <v>13</v>
      </c>
      <c r="G332" t="s">
        <v>21</v>
      </c>
      <c r="H332" t="s">
        <v>15</v>
      </c>
      <c r="I332">
        <v>3</v>
      </c>
      <c r="J332" t="s">
        <v>72</v>
      </c>
      <c r="K332" t="s">
        <v>24</v>
      </c>
      <c r="L332">
        <v>32</v>
      </c>
      <c r="M332" t="str" cm="1">
        <f t="array" ref="M332">_xlfn.IFS(L332&lt;31, "Young Adult", L332&lt;=55, "Middle Age", L332&gt;55, "Old")</f>
        <v>Middle Age</v>
      </c>
      <c r="N332" t="s">
        <v>18</v>
      </c>
      <c r="O332">
        <f t="shared" si="5"/>
        <v>0</v>
      </c>
      <c r="P332" t="str" cm="1">
        <f t="array" ref="P332">_xlfn.IFS(D332&lt;=40000,"1. Up to 40K",D332&lt;=60000,"2. 40-60K",D332&lt;=80000,"3. 60-80K",TRUE,"4. Over 80K")</f>
        <v>3. 60-80K</v>
      </c>
    </row>
    <row r="333" spans="1:16"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c r="O333">
        <f t="shared" si="5"/>
        <v>0</v>
      </c>
      <c r="P333" t="str" cm="1">
        <f t="array" ref="P333">_xlfn.IFS(D333&lt;=40000,"1. Up to 40K",D333&lt;=60000,"2. 40-60K",D333&lt;=80000,"3. 60-80K",TRUE,"4. Over 80K")</f>
        <v>1. Up to 40K</v>
      </c>
    </row>
    <row r="334" spans="1:16"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c r="O334">
        <f t="shared" si="5"/>
        <v>1</v>
      </c>
      <c r="P334" t="str" cm="1">
        <f t="array" ref="P334">_xlfn.IFS(D334&lt;=40000,"1. Up to 40K",D334&lt;=60000,"2. 40-60K",D334&lt;=80000,"3. 60-80K",TRUE,"4. Over 80K")</f>
        <v>1. Up to 40K</v>
      </c>
    </row>
    <row r="335" spans="1:16"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c r="O335">
        <f t="shared" si="5"/>
        <v>1</v>
      </c>
      <c r="P335" t="str" cm="1">
        <f t="array" ref="P335">_xlfn.IFS(D335&lt;=40000,"1. Up to 40K",D335&lt;=60000,"2. 40-60K",D335&lt;=80000,"3. 60-80K",TRUE,"4. Over 80K")</f>
        <v>4. Over 80K</v>
      </c>
    </row>
    <row r="336" spans="1:16"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c r="O336">
        <f t="shared" si="5"/>
        <v>0</v>
      </c>
      <c r="P336" t="str" cm="1">
        <f t="array" ref="P336">_xlfn.IFS(D336&lt;=40000,"1. Up to 40K",D336&lt;=60000,"2. 40-60K",D336&lt;=80000,"3. 60-80K",TRUE,"4. Over 80K")</f>
        <v>4. Over 80K</v>
      </c>
    </row>
    <row r="337" spans="1:16"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c r="O337">
        <f t="shared" si="5"/>
        <v>0</v>
      </c>
      <c r="P337" t="str" cm="1">
        <f t="array" ref="P337">_xlfn.IFS(D337&lt;=40000,"1. Up to 40K",D337&lt;=60000,"2. 40-60K",D337&lt;=80000,"3. 60-80K",TRUE,"4. Over 80K")</f>
        <v>3. 60-80K</v>
      </c>
    </row>
    <row r="338" spans="1:16"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c r="O338">
        <f t="shared" si="5"/>
        <v>0</v>
      </c>
      <c r="P338" t="str" cm="1">
        <f t="array" ref="P338">_xlfn.IFS(D338&lt;=40000,"1. Up to 40K",D338&lt;=60000,"2. 40-60K",D338&lt;=80000,"3. 60-80K",TRUE,"4. Over 80K")</f>
        <v>1. Up to 40K</v>
      </c>
    </row>
    <row r="339" spans="1:16"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c r="O339">
        <f t="shared" si="5"/>
        <v>0</v>
      </c>
      <c r="P339" t="str" cm="1">
        <f t="array" ref="P339">_xlfn.IFS(D339&lt;=40000,"1. Up to 40K",D339&lt;=60000,"2. 40-60K",D339&lt;=80000,"3. 60-80K",TRUE,"4. Over 80K")</f>
        <v>1. Up to 40K</v>
      </c>
    </row>
    <row r="340" spans="1:16"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c r="O340">
        <f t="shared" si="5"/>
        <v>1</v>
      </c>
      <c r="P340" t="str" cm="1">
        <f t="array" ref="P340">_xlfn.IFS(D340&lt;=40000,"1. Up to 40K",D340&lt;=60000,"2. 40-60K",D340&lt;=80000,"3. 60-80K",TRUE,"4. Over 80K")</f>
        <v>4. Over 80K</v>
      </c>
    </row>
    <row r="341" spans="1:16"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c r="O341">
        <f t="shared" si="5"/>
        <v>0</v>
      </c>
      <c r="P341" t="str" cm="1">
        <f t="array" ref="P341">_xlfn.IFS(D341&lt;=40000,"1. Up to 40K",D341&lt;=60000,"2. 40-60K",D341&lt;=80000,"3. 60-80K",TRUE,"4. Over 80K")</f>
        <v>1. Up to 40K</v>
      </c>
    </row>
    <row r="342" spans="1:16"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c r="O342">
        <f t="shared" si="5"/>
        <v>0</v>
      </c>
      <c r="P342" t="str" cm="1">
        <f t="array" ref="P342">_xlfn.IFS(D342&lt;=40000,"1. Up to 40K",D342&lt;=60000,"2. 40-60K",D342&lt;=80000,"3. 60-80K",TRUE,"4. Over 80K")</f>
        <v>1. Up to 40K</v>
      </c>
    </row>
    <row r="343" spans="1:16"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c r="O343">
        <f t="shared" si="5"/>
        <v>1</v>
      </c>
      <c r="P343" t="str" cm="1">
        <f t="array" ref="P343">_xlfn.IFS(D343&lt;=40000,"1. Up to 40K",D343&lt;=60000,"2. 40-60K",D343&lt;=80000,"3. 60-80K",TRUE,"4. Over 80K")</f>
        <v>1. Up to 40K</v>
      </c>
    </row>
    <row r="344" spans="1:16"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c r="O344">
        <f t="shared" si="5"/>
        <v>0</v>
      </c>
      <c r="P344" t="str" cm="1">
        <f t="array" ref="P344">_xlfn.IFS(D344&lt;=40000,"1. Up to 40K",D344&lt;=60000,"2. 40-60K",D344&lt;=80000,"3. 60-80K",TRUE,"4. Over 80K")</f>
        <v>1. Up to 40K</v>
      </c>
    </row>
    <row r="345" spans="1:16"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c r="O345">
        <f t="shared" si="5"/>
        <v>0</v>
      </c>
      <c r="P345" t="str" cm="1">
        <f t="array" ref="P345">_xlfn.IFS(D345&lt;=40000,"1. Up to 40K",D345&lt;=60000,"2. 40-60K",D345&lt;=80000,"3. 60-80K",TRUE,"4. Over 80K")</f>
        <v>1. Up to 40K</v>
      </c>
    </row>
    <row r="346" spans="1:16"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c r="O346">
        <f t="shared" si="5"/>
        <v>1</v>
      </c>
      <c r="P346" t="str" cm="1">
        <f t="array" ref="P346">_xlfn.IFS(D346&lt;=40000,"1. Up to 40K",D346&lt;=60000,"2. 40-60K",D346&lt;=80000,"3. 60-80K",TRUE,"4. Over 80K")</f>
        <v>1. Up to 40K</v>
      </c>
    </row>
    <row r="347" spans="1:16"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c r="O347">
        <f t="shared" si="5"/>
        <v>1</v>
      </c>
      <c r="P347" t="str" cm="1">
        <f t="array" ref="P347">_xlfn.IFS(D347&lt;=40000,"1. Up to 40K",D347&lt;=60000,"2. 40-60K",D347&lt;=80000,"3. 60-80K",TRUE,"4. Over 80K")</f>
        <v>1. Up to 40K</v>
      </c>
    </row>
    <row r="348" spans="1:16"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c r="O348">
        <f t="shared" si="5"/>
        <v>1</v>
      </c>
      <c r="P348" t="str" cm="1">
        <f t="array" ref="P348">_xlfn.IFS(D348&lt;=40000,"1. Up to 40K",D348&lt;=60000,"2. 40-60K",D348&lt;=80000,"3. 60-80K",TRUE,"4. Over 80K")</f>
        <v>1. Up to 40K</v>
      </c>
    </row>
    <row r="349" spans="1:16"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c r="O349">
        <f t="shared" si="5"/>
        <v>1</v>
      </c>
      <c r="P349" t="str" cm="1">
        <f t="array" ref="P349">_xlfn.IFS(D349&lt;=40000,"1. Up to 40K",D349&lt;=60000,"2. 40-60K",D349&lt;=80000,"3. 60-80K",TRUE,"4. Over 80K")</f>
        <v>2. 40-60K</v>
      </c>
    </row>
    <row r="350" spans="1:16"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c r="O350">
        <f t="shared" si="5"/>
        <v>0</v>
      </c>
      <c r="P350" t="str" cm="1">
        <f t="array" ref="P350">_xlfn.IFS(D350&lt;=40000,"1. Up to 40K",D350&lt;=60000,"2. 40-60K",D350&lt;=80000,"3. 60-80K",TRUE,"4. Over 80K")</f>
        <v>1. Up to 40K</v>
      </c>
    </row>
    <row r="351" spans="1:16"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c r="O351">
        <f t="shared" si="5"/>
        <v>1</v>
      </c>
      <c r="P351" t="str" cm="1">
        <f t="array" ref="P351">_xlfn.IFS(D351&lt;=40000,"1. Up to 40K",D351&lt;=60000,"2. 40-60K",D351&lt;=80000,"3. 60-80K",TRUE,"4. Over 80K")</f>
        <v>1. Up to 40K</v>
      </c>
    </row>
    <row r="352" spans="1:16"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c r="O352">
        <f t="shared" si="5"/>
        <v>1</v>
      </c>
      <c r="P352" t="str" cm="1">
        <f t="array" ref="P352">_xlfn.IFS(D352&lt;=40000,"1. Up to 40K",D352&lt;=60000,"2. 40-60K",D352&lt;=80000,"3. 60-80K",TRUE,"4. Over 80K")</f>
        <v>1. Up to 40K</v>
      </c>
    </row>
    <row r="353" spans="1:16"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c r="O353">
        <f t="shared" si="5"/>
        <v>1</v>
      </c>
      <c r="P353" t="str" cm="1">
        <f t="array" ref="P353">_xlfn.IFS(D353&lt;=40000,"1. Up to 40K",D353&lt;=60000,"2. 40-60K",D353&lt;=80000,"3. 60-80K",TRUE,"4. Over 80K")</f>
        <v>1. Up to 40K</v>
      </c>
    </row>
    <row r="354" spans="1:16"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c r="O354">
        <f t="shared" si="5"/>
        <v>0</v>
      </c>
      <c r="P354" t="str" cm="1">
        <f t="array" ref="P354">_xlfn.IFS(D354&lt;=40000,"1. Up to 40K",D354&lt;=60000,"2. 40-60K",D354&lt;=80000,"3. 60-80K",TRUE,"4. Over 80K")</f>
        <v>3. 60-80K</v>
      </c>
    </row>
    <row r="355" spans="1:16"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c r="O355">
        <f t="shared" si="5"/>
        <v>1</v>
      </c>
      <c r="P355" t="str" cm="1">
        <f t="array" ref="P355">_xlfn.IFS(D355&lt;=40000,"1. Up to 40K",D355&lt;=60000,"2. 40-60K",D355&lt;=80000,"3. 60-80K",TRUE,"4. Over 80K")</f>
        <v>1. Up to 40K</v>
      </c>
    </row>
    <row r="356" spans="1:16"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c r="O356">
        <f t="shared" si="5"/>
        <v>0</v>
      </c>
      <c r="P356" t="str" cm="1">
        <f t="array" ref="P356">_xlfn.IFS(D356&lt;=40000,"1. Up to 40K",D356&lt;=60000,"2. 40-60K",D356&lt;=80000,"3. 60-80K",TRUE,"4. Over 80K")</f>
        <v>1. Up to 40K</v>
      </c>
    </row>
    <row r="357" spans="1:16" x14ac:dyDescent="0.25">
      <c r="A357">
        <v>17238</v>
      </c>
      <c r="B357" t="s">
        <v>51</v>
      </c>
      <c r="C357" t="s">
        <v>53</v>
      </c>
      <c r="D357" s="1">
        <v>80000</v>
      </c>
      <c r="E357">
        <v>0</v>
      </c>
      <c r="F357" t="s">
        <v>13</v>
      </c>
      <c r="G357" t="s">
        <v>21</v>
      </c>
      <c r="H357" t="s">
        <v>15</v>
      </c>
      <c r="I357">
        <v>3</v>
      </c>
      <c r="J357" t="s">
        <v>72</v>
      </c>
      <c r="K357" t="s">
        <v>24</v>
      </c>
      <c r="L357">
        <v>32</v>
      </c>
      <c r="M357" t="str" cm="1">
        <f t="array" ref="M357">_xlfn.IFS(L357&lt;31, "Young Adult", L357&lt;=55, "Middle Age", L357&gt;55, "Old")</f>
        <v>Middle Age</v>
      </c>
      <c r="N357" t="s">
        <v>18</v>
      </c>
      <c r="O357">
        <f t="shared" si="5"/>
        <v>0</v>
      </c>
      <c r="P357" t="str" cm="1">
        <f t="array" ref="P357">_xlfn.IFS(D357&lt;=40000,"1. Up to 40K",D357&lt;=60000,"2. 40-60K",D357&lt;=80000,"3. 60-80K",TRUE,"4. Over 80K")</f>
        <v>3. 60-80K</v>
      </c>
    </row>
    <row r="358" spans="1:16"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c r="O358">
        <f t="shared" si="5"/>
        <v>1</v>
      </c>
      <c r="P358" t="str" cm="1">
        <f t="array" ref="P358">_xlfn.IFS(D358&lt;=40000,"1. Up to 40K",D358&lt;=60000,"2. 40-60K",D358&lt;=80000,"3. 60-80K",TRUE,"4. Over 80K")</f>
        <v>4. Over 80K</v>
      </c>
    </row>
    <row r="359" spans="1:16"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c r="O359">
        <f t="shared" si="5"/>
        <v>0</v>
      </c>
      <c r="P359" t="str" cm="1">
        <f t="array" ref="P359">_xlfn.IFS(D359&lt;=40000,"1. Up to 40K",D359&lt;=60000,"2. 40-60K",D359&lt;=80000,"3. 60-80K",TRUE,"4. Over 80K")</f>
        <v>1. Up to 40K</v>
      </c>
    </row>
    <row r="360" spans="1:16"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c r="O360">
        <f t="shared" si="5"/>
        <v>1</v>
      </c>
      <c r="P360" t="str" cm="1">
        <f t="array" ref="P360">_xlfn.IFS(D360&lt;=40000,"1. Up to 40K",D360&lt;=60000,"2. 40-60K",D360&lt;=80000,"3. 60-80K",TRUE,"4. Over 80K")</f>
        <v>4. Over 80K</v>
      </c>
    </row>
    <row r="361" spans="1:16" x14ac:dyDescent="0.25">
      <c r="A361">
        <v>17230</v>
      </c>
      <c r="B361" t="s">
        <v>50</v>
      </c>
      <c r="C361" t="s">
        <v>53</v>
      </c>
      <c r="D361" s="1">
        <v>80000</v>
      </c>
      <c r="E361">
        <v>0</v>
      </c>
      <c r="F361" t="s">
        <v>13</v>
      </c>
      <c r="G361" t="s">
        <v>21</v>
      </c>
      <c r="H361" t="s">
        <v>15</v>
      </c>
      <c r="I361">
        <v>3</v>
      </c>
      <c r="J361" t="s">
        <v>72</v>
      </c>
      <c r="K361" t="s">
        <v>24</v>
      </c>
      <c r="L361">
        <v>30</v>
      </c>
      <c r="M361" t="str" cm="1">
        <f t="array" ref="M361">_xlfn.IFS(L361&lt;31, "Young Adult", L361&lt;=55, "Middle Age", L361&gt;55, "Old")</f>
        <v>Young Adult</v>
      </c>
      <c r="N361" t="s">
        <v>18</v>
      </c>
      <c r="O361">
        <f t="shared" si="5"/>
        <v>0</v>
      </c>
      <c r="P361" t="str" cm="1">
        <f t="array" ref="P361">_xlfn.IFS(D361&lt;=40000,"1. Up to 40K",D361&lt;=60000,"2. 40-60K",D361&lt;=80000,"3. 60-80K",TRUE,"4. Over 80K")</f>
        <v>3. 60-80K</v>
      </c>
    </row>
    <row r="362" spans="1:16"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c r="O362">
        <f t="shared" si="5"/>
        <v>1</v>
      </c>
      <c r="P362" t="str" cm="1">
        <f t="array" ref="P362">_xlfn.IFS(D362&lt;=40000,"1. Up to 40K",D362&lt;=60000,"2. 40-60K",D362&lt;=80000,"3. 60-80K",TRUE,"4. Over 80K")</f>
        <v>4. Over 80K</v>
      </c>
    </row>
    <row r="363" spans="1:16"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c r="O363">
        <f t="shared" si="5"/>
        <v>1</v>
      </c>
      <c r="P363" t="str" cm="1">
        <f t="array" ref="P363">_xlfn.IFS(D363&lt;=40000,"1. Up to 40K",D363&lt;=60000,"2. 40-60K",D363&lt;=80000,"3. 60-80K",TRUE,"4. Over 80K")</f>
        <v>1. Up to 40K</v>
      </c>
    </row>
    <row r="364" spans="1:16"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c r="O364">
        <f t="shared" si="5"/>
        <v>1</v>
      </c>
      <c r="P364" t="str" cm="1">
        <f t="array" ref="P364">_xlfn.IFS(D364&lt;=40000,"1. Up to 40K",D364&lt;=60000,"2. 40-60K",D364&lt;=80000,"3. 60-80K",TRUE,"4. Over 80K")</f>
        <v>1. Up to 40K</v>
      </c>
    </row>
    <row r="365" spans="1:16"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c r="O365">
        <f t="shared" si="5"/>
        <v>1</v>
      </c>
      <c r="P365" t="str" cm="1">
        <f t="array" ref="P365">_xlfn.IFS(D365&lt;=40000,"1. Up to 40K",D365&lt;=60000,"2. 40-60K",D365&lt;=80000,"3. 60-80K",TRUE,"4. Over 80K")</f>
        <v>1. Up to 40K</v>
      </c>
    </row>
    <row r="366" spans="1:16"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c r="O366">
        <f t="shared" si="5"/>
        <v>1</v>
      </c>
      <c r="P366" t="str" cm="1">
        <f t="array" ref="P366">_xlfn.IFS(D366&lt;=40000,"1. Up to 40K",D366&lt;=60000,"2. 40-60K",D366&lt;=80000,"3. 60-80K",TRUE,"4. Over 80K")</f>
        <v>1. Up to 40K</v>
      </c>
    </row>
    <row r="367" spans="1:16"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c r="O367">
        <f t="shared" si="5"/>
        <v>1</v>
      </c>
      <c r="P367" t="str" cm="1">
        <f t="array" ref="P367">_xlfn.IFS(D367&lt;=40000,"1. Up to 40K",D367&lt;=60000,"2. 40-60K",D367&lt;=80000,"3. 60-80K",TRUE,"4. Over 80K")</f>
        <v>1. Up to 40K</v>
      </c>
    </row>
    <row r="368" spans="1:16"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c r="O368">
        <f t="shared" si="5"/>
        <v>1</v>
      </c>
      <c r="P368" t="str" cm="1">
        <f t="array" ref="P368">_xlfn.IFS(D368&lt;=40000,"1. Up to 40K",D368&lt;=60000,"2. 40-60K",D368&lt;=80000,"3. 60-80K",TRUE,"4. Over 80K")</f>
        <v>2. 40-60K</v>
      </c>
    </row>
    <row r="369" spans="1:16"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c r="O369">
        <f t="shared" si="5"/>
        <v>1</v>
      </c>
      <c r="P369" t="str" cm="1">
        <f t="array" ref="P369">_xlfn.IFS(D369&lt;=40000,"1. Up to 40K",D369&lt;=60000,"2. 40-60K",D369&lt;=80000,"3. 60-80K",TRUE,"4. Over 80K")</f>
        <v>4. Over 80K</v>
      </c>
    </row>
    <row r="370" spans="1:16"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c r="O370">
        <f t="shared" si="5"/>
        <v>1</v>
      </c>
      <c r="P370" t="str" cm="1">
        <f t="array" ref="P370">_xlfn.IFS(D370&lt;=40000,"1. Up to 40K",D370&lt;=60000,"2. 40-60K",D370&lt;=80000,"3. 60-80K",TRUE,"4. Over 80K")</f>
        <v>1. Up to 40K</v>
      </c>
    </row>
    <row r="371" spans="1:16"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c r="O371">
        <f t="shared" si="5"/>
        <v>1</v>
      </c>
      <c r="P371" t="str" cm="1">
        <f t="array" ref="P371">_xlfn.IFS(D371&lt;=40000,"1. Up to 40K",D371&lt;=60000,"2. 40-60K",D371&lt;=80000,"3. 60-80K",TRUE,"4. Over 80K")</f>
        <v>1. Up to 40K</v>
      </c>
    </row>
    <row r="372" spans="1:16" x14ac:dyDescent="0.25">
      <c r="A372">
        <v>17324</v>
      </c>
      <c r="B372" t="s">
        <v>50</v>
      </c>
      <c r="C372" t="s">
        <v>52</v>
      </c>
      <c r="D372" s="1">
        <v>100000</v>
      </c>
      <c r="E372">
        <v>4</v>
      </c>
      <c r="F372" t="s">
        <v>13</v>
      </c>
      <c r="G372" t="s">
        <v>21</v>
      </c>
      <c r="H372" t="s">
        <v>15</v>
      </c>
      <c r="I372">
        <v>1</v>
      </c>
      <c r="J372" t="s">
        <v>72</v>
      </c>
      <c r="K372" t="s">
        <v>24</v>
      </c>
      <c r="L372">
        <v>46</v>
      </c>
      <c r="M372" t="str" cm="1">
        <f t="array" ref="M372">_xlfn.IFS(L372&lt;31, "Young Adult", L372&lt;=55, "Middle Age", L372&gt;55, "Old")</f>
        <v>Middle Age</v>
      </c>
      <c r="N372" t="s">
        <v>18</v>
      </c>
      <c r="O372">
        <f t="shared" si="5"/>
        <v>0</v>
      </c>
      <c r="P372" t="str" cm="1">
        <f t="array" ref="P372">_xlfn.IFS(D372&lt;=40000,"1. Up to 40K",D372&lt;=60000,"2. 40-60K",D372&lt;=80000,"3. 60-80K",TRUE,"4. Over 80K")</f>
        <v>4. Over 80K</v>
      </c>
    </row>
    <row r="373" spans="1:16"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c r="O373">
        <f t="shared" si="5"/>
        <v>0</v>
      </c>
      <c r="P373" t="str" cm="1">
        <f t="array" ref="P373">_xlfn.IFS(D373&lt;=40000,"1. Up to 40K",D373&lt;=60000,"2. 40-60K",D373&lt;=80000,"3. 60-80K",TRUE,"4. Over 80K")</f>
        <v>3. 60-80K</v>
      </c>
    </row>
    <row r="374" spans="1:16"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c r="O374">
        <f t="shared" si="5"/>
        <v>1</v>
      </c>
      <c r="P374" t="str" cm="1">
        <f t="array" ref="P374">_xlfn.IFS(D374&lt;=40000,"1. Up to 40K",D374&lt;=60000,"2. 40-60K",D374&lt;=80000,"3. 60-80K",TRUE,"4. Over 80K")</f>
        <v>1. Up to 40K</v>
      </c>
    </row>
    <row r="375" spans="1:16"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c r="O375">
        <f t="shared" si="5"/>
        <v>0</v>
      </c>
      <c r="P375" t="str" cm="1">
        <f t="array" ref="P375">_xlfn.IFS(D375&lt;=40000,"1. Up to 40K",D375&lt;=60000,"2. 40-60K",D375&lt;=80000,"3. 60-80K",TRUE,"4. Over 80K")</f>
        <v>1. Up to 40K</v>
      </c>
    </row>
    <row r="376" spans="1:16"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c r="O376">
        <f t="shared" si="5"/>
        <v>0</v>
      </c>
      <c r="P376" t="str" cm="1">
        <f t="array" ref="P376">_xlfn.IFS(D376&lt;=40000,"1. Up to 40K",D376&lt;=60000,"2. 40-60K",D376&lt;=80000,"3. 60-80K",TRUE,"4. Over 80K")</f>
        <v>3. 60-80K</v>
      </c>
    </row>
    <row r="377" spans="1:16"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c r="O377">
        <f t="shared" si="5"/>
        <v>0</v>
      </c>
      <c r="P377" t="str" cm="1">
        <f t="array" ref="P377">_xlfn.IFS(D377&lt;=40000,"1. Up to 40K",D377&lt;=60000,"2. 40-60K",D377&lt;=80000,"3. 60-80K",TRUE,"4. Over 80K")</f>
        <v>1. Up to 40K</v>
      </c>
    </row>
    <row r="378" spans="1:16"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c r="O378">
        <f t="shared" si="5"/>
        <v>1</v>
      </c>
      <c r="P378" t="str" cm="1">
        <f t="array" ref="P378">_xlfn.IFS(D378&lt;=40000,"1. Up to 40K",D378&lt;=60000,"2. 40-60K",D378&lt;=80000,"3. 60-80K",TRUE,"4. Over 80K")</f>
        <v>1. Up to 40K</v>
      </c>
    </row>
    <row r="379" spans="1:16"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c r="O379">
        <f t="shared" si="5"/>
        <v>1</v>
      </c>
      <c r="P379" t="str" cm="1">
        <f t="array" ref="P379">_xlfn.IFS(D379&lt;=40000,"1. Up to 40K",D379&lt;=60000,"2. 40-60K",D379&lt;=80000,"3. 60-80K",TRUE,"4. Over 80K")</f>
        <v>4. Over 80K</v>
      </c>
    </row>
    <row r="380" spans="1:16"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c r="O380">
        <f t="shared" si="5"/>
        <v>0</v>
      </c>
      <c r="P380" t="str" cm="1">
        <f t="array" ref="P380">_xlfn.IFS(D380&lt;=40000,"1. Up to 40K",D380&lt;=60000,"2. 40-60K",D380&lt;=80000,"3. 60-80K",TRUE,"4. Over 80K")</f>
        <v>1. Up to 40K</v>
      </c>
    </row>
    <row r="381" spans="1:16"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c r="O381">
        <f t="shared" si="5"/>
        <v>0</v>
      </c>
      <c r="P381" t="str" cm="1">
        <f t="array" ref="P381">_xlfn.IFS(D381&lt;=40000,"1. Up to 40K",D381&lt;=60000,"2. 40-60K",D381&lt;=80000,"3. 60-80K",TRUE,"4. Over 80K")</f>
        <v>2. 40-60K</v>
      </c>
    </row>
    <row r="382" spans="1:16" x14ac:dyDescent="0.25">
      <c r="A382">
        <v>13620</v>
      </c>
      <c r="B382" t="s">
        <v>51</v>
      </c>
      <c r="C382" t="s">
        <v>53</v>
      </c>
      <c r="D382" s="1">
        <v>70000</v>
      </c>
      <c r="E382">
        <v>0</v>
      </c>
      <c r="F382" t="s">
        <v>13</v>
      </c>
      <c r="G382" t="s">
        <v>21</v>
      </c>
      <c r="H382" t="s">
        <v>18</v>
      </c>
      <c r="I382">
        <v>3</v>
      </c>
      <c r="J382" t="s">
        <v>72</v>
      </c>
      <c r="K382" t="s">
        <v>24</v>
      </c>
      <c r="L382">
        <v>30</v>
      </c>
      <c r="M382" t="str" cm="1">
        <f t="array" ref="M382">_xlfn.IFS(L382&lt;31, "Young Adult", L382&lt;=55, "Middle Age", L382&gt;55, "Old")</f>
        <v>Young Adult</v>
      </c>
      <c r="N382" t="s">
        <v>15</v>
      </c>
      <c r="O382">
        <f t="shared" si="5"/>
        <v>1</v>
      </c>
      <c r="P382" t="str" cm="1">
        <f t="array" ref="P382">_xlfn.IFS(D382&lt;=40000,"1. Up to 40K",D382&lt;=60000,"2. 40-60K",D382&lt;=80000,"3. 60-80K",TRUE,"4. Over 80K")</f>
        <v>3. 60-80K</v>
      </c>
    </row>
    <row r="383" spans="1:16"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c r="O383">
        <f t="shared" si="5"/>
        <v>0</v>
      </c>
      <c r="P383" t="str" cm="1">
        <f t="array" ref="P383">_xlfn.IFS(D383&lt;=40000,"1. Up to 40K",D383&lt;=60000,"2. 40-60K",D383&lt;=80000,"3. 60-80K",TRUE,"4. Over 80K")</f>
        <v>1. Up to 40K</v>
      </c>
    </row>
    <row r="384" spans="1:16" x14ac:dyDescent="0.25">
      <c r="A384">
        <v>13586</v>
      </c>
      <c r="B384" t="s">
        <v>50</v>
      </c>
      <c r="C384" t="s">
        <v>53</v>
      </c>
      <c r="D384" s="1">
        <v>80000</v>
      </c>
      <c r="E384">
        <v>4</v>
      </c>
      <c r="F384" t="s">
        <v>19</v>
      </c>
      <c r="G384" t="s">
        <v>21</v>
      </c>
      <c r="H384" t="s">
        <v>15</v>
      </c>
      <c r="I384">
        <v>2</v>
      </c>
      <c r="J384" t="s">
        <v>72</v>
      </c>
      <c r="K384" t="s">
        <v>17</v>
      </c>
      <c r="L384">
        <v>53</v>
      </c>
      <c r="M384" t="str" cm="1">
        <f t="array" ref="M384">_xlfn.IFS(L384&lt;31, "Young Adult", L384&lt;=55, "Middle Age", L384&gt;55, "Old")</f>
        <v>Middle Age</v>
      </c>
      <c r="N384" t="s">
        <v>18</v>
      </c>
      <c r="O384">
        <f t="shared" si="5"/>
        <v>0</v>
      </c>
      <c r="P384" t="str" cm="1">
        <f t="array" ref="P384">_xlfn.IFS(D384&lt;=40000,"1. Up to 40K",D384&lt;=60000,"2. 40-60K",D384&lt;=80000,"3. 60-80K",TRUE,"4. Over 80K")</f>
        <v>3. 60-80K</v>
      </c>
    </row>
    <row r="385" spans="1:16"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c r="O385">
        <f t="shared" si="5"/>
        <v>1</v>
      </c>
      <c r="P385" t="str" cm="1">
        <f t="array" ref="P385">_xlfn.IFS(D385&lt;=40000,"1. Up to 40K",D385&lt;=60000,"2. 40-60K",D385&lt;=80000,"3. 60-80K",TRUE,"4. Over 80K")</f>
        <v>1. Up to 40K</v>
      </c>
    </row>
    <row r="386" spans="1:16"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c r="O386">
        <f t="shared" si="5"/>
        <v>1</v>
      </c>
      <c r="P386" t="str" cm="1">
        <f t="array" ref="P386">_xlfn.IFS(D386&lt;=40000,"1. Up to 40K",D386&lt;=60000,"2. 40-60K",D386&lt;=80000,"3. 60-80K",TRUE,"4. Over 80K")</f>
        <v>1. Up to 40K</v>
      </c>
    </row>
    <row r="387" spans="1:16"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c r="O387">
        <f t="shared" ref="O387:O450" si="6">IF(N387="Yes",1,0)</f>
        <v>0</v>
      </c>
      <c r="P387" t="str" cm="1">
        <f t="array" ref="P387">_xlfn.IFS(D387&lt;=40000,"1. Up to 40K",D387&lt;=60000,"2. 40-60K",D387&lt;=80000,"3. 60-80K",TRUE,"4. Over 80K")</f>
        <v>1. Up to 40K</v>
      </c>
    </row>
    <row r="388" spans="1:16" x14ac:dyDescent="0.25">
      <c r="A388">
        <v>28957</v>
      </c>
      <c r="B388" t="s">
        <v>51</v>
      </c>
      <c r="C388" t="s">
        <v>52</v>
      </c>
      <c r="D388" s="1">
        <v>120000</v>
      </c>
      <c r="E388">
        <v>0</v>
      </c>
      <c r="F388" t="s">
        <v>29</v>
      </c>
      <c r="G388" t="s">
        <v>21</v>
      </c>
      <c r="H388" t="s">
        <v>15</v>
      </c>
      <c r="I388">
        <v>4</v>
      </c>
      <c r="J388" t="s">
        <v>72</v>
      </c>
      <c r="K388" t="s">
        <v>24</v>
      </c>
      <c r="L388">
        <v>34</v>
      </c>
      <c r="M388" t="str" cm="1">
        <f t="array" ref="M388">_xlfn.IFS(L388&lt;31, "Young Adult", L388&lt;=55, "Middle Age", L388&gt;55, "Old")</f>
        <v>Middle Age</v>
      </c>
      <c r="N388" t="s">
        <v>15</v>
      </c>
      <c r="O388">
        <f t="shared" si="6"/>
        <v>1</v>
      </c>
      <c r="P388" t="str" cm="1">
        <f t="array" ref="P388">_xlfn.IFS(D388&lt;=40000,"1. Up to 40K",D388&lt;=60000,"2. 40-60K",D388&lt;=80000,"3. 60-80K",TRUE,"4. Over 80K")</f>
        <v>4. Over 80K</v>
      </c>
    </row>
    <row r="389" spans="1:16"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c r="O389">
        <f t="shared" si="6"/>
        <v>1</v>
      </c>
      <c r="P389" t="str" cm="1">
        <f t="array" ref="P389">_xlfn.IFS(D389&lt;=40000,"1. Up to 40K",D389&lt;=60000,"2. 40-60K",D389&lt;=80000,"3. 60-80K",TRUE,"4. Over 80K")</f>
        <v>1. Up to 40K</v>
      </c>
    </row>
    <row r="390" spans="1:16"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c r="O390">
        <f t="shared" si="6"/>
        <v>0</v>
      </c>
      <c r="P390" t="str" cm="1">
        <f t="array" ref="P390">_xlfn.IFS(D390&lt;=40000,"1. Up to 40K",D390&lt;=60000,"2. 40-60K",D390&lt;=80000,"3. 60-80K",TRUE,"4. Over 80K")</f>
        <v>1. Up to 40K</v>
      </c>
    </row>
    <row r="391" spans="1:16"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c r="O391">
        <f t="shared" si="6"/>
        <v>1</v>
      </c>
      <c r="P391" t="str" cm="1">
        <f t="array" ref="P391">_xlfn.IFS(D391&lt;=40000,"1. Up to 40K",D391&lt;=60000,"2. 40-60K",D391&lt;=80000,"3. 60-80K",TRUE,"4. Over 80K")</f>
        <v>3. 60-80K</v>
      </c>
    </row>
    <row r="392" spans="1:16"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c r="O392">
        <f t="shared" si="6"/>
        <v>0</v>
      </c>
      <c r="P392" t="str" cm="1">
        <f t="array" ref="P392">_xlfn.IFS(D392&lt;=40000,"1. Up to 40K",D392&lt;=60000,"2. 40-60K",D392&lt;=80000,"3. 60-80K",TRUE,"4. Over 80K")</f>
        <v>3. 60-80K</v>
      </c>
    </row>
    <row r="393" spans="1:16"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c r="O393">
        <f t="shared" si="6"/>
        <v>1</v>
      </c>
      <c r="P393" t="str" cm="1">
        <f t="array" ref="P393">_xlfn.IFS(D393&lt;=40000,"1. Up to 40K",D393&lt;=60000,"2. 40-60K",D393&lt;=80000,"3. 60-80K",TRUE,"4. Over 80K")</f>
        <v>3. 60-80K</v>
      </c>
    </row>
    <row r="394" spans="1:16"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c r="O394">
        <f t="shared" si="6"/>
        <v>0</v>
      </c>
      <c r="P394" t="str" cm="1">
        <f t="array" ref="P394">_xlfn.IFS(D394&lt;=40000,"1. Up to 40K",D394&lt;=60000,"2. 40-60K",D394&lt;=80000,"3. 60-80K",TRUE,"4. Over 80K")</f>
        <v>1. Up to 40K</v>
      </c>
    </row>
    <row r="395" spans="1:16"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c r="O395">
        <f t="shared" si="6"/>
        <v>0</v>
      </c>
      <c r="P395" t="str" cm="1">
        <f t="array" ref="P395">_xlfn.IFS(D395&lt;=40000,"1. Up to 40K",D395&lt;=60000,"2. 40-60K",D395&lt;=80000,"3. 60-80K",TRUE,"4. Over 80K")</f>
        <v>1. Up to 40K</v>
      </c>
    </row>
    <row r="396" spans="1:16"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c r="O396">
        <f t="shared" si="6"/>
        <v>1</v>
      </c>
      <c r="P396" t="str" cm="1">
        <f t="array" ref="P396">_xlfn.IFS(D396&lt;=40000,"1. Up to 40K",D396&lt;=60000,"2. 40-60K",D396&lt;=80000,"3. 60-80K",TRUE,"4. Over 80K")</f>
        <v>1. Up to 40K</v>
      </c>
    </row>
    <row r="397" spans="1:16"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c r="O397">
        <f t="shared" si="6"/>
        <v>1</v>
      </c>
      <c r="P397" t="str" cm="1">
        <f t="array" ref="P397">_xlfn.IFS(D397&lt;=40000,"1. Up to 40K",D397&lt;=60000,"2. 40-60K",D397&lt;=80000,"3. 60-80K",TRUE,"4. Over 80K")</f>
        <v>1. Up to 40K</v>
      </c>
    </row>
    <row r="398" spans="1:16"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c r="O398">
        <f t="shared" si="6"/>
        <v>1</v>
      </c>
      <c r="P398" t="str" cm="1">
        <f t="array" ref="P398">_xlfn.IFS(D398&lt;=40000,"1. Up to 40K",D398&lt;=60000,"2. 40-60K",D398&lt;=80000,"3. 60-80K",TRUE,"4. Over 80K")</f>
        <v>2. 40-60K</v>
      </c>
    </row>
    <row r="399" spans="1:16"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c r="O399">
        <f t="shared" si="6"/>
        <v>0</v>
      </c>
      <c r="P399" t="str" cm="1">
        <f t="array" ref="P399">_xlfn.IFS(D399&lt;=40000,"1. Up to 40K",D399&lt;=60000,"2. 40-60K",D399&lt;=80000,"3. 60-80K",TRUE,"4. Over 80K")</f>
        <v>1. Up to 40K</v>
      </c>
    </row>
    <row r="400" spans="1:16"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c r="O400">
        <f t="shared" si="6"/>
        <v>1</v>
      </c>
      <c r="P400" t="str" cm="1">
        <f t="array" ref="P400">_xlfn.IFS(D400&lt;=40000,"1. Up to 40K",D400&lt;=60000,"2. 40-60K",D400&lt;=80000,"3. 60-80K",TRUE,"4. Over 80K")</f>
        <v>1. Up to 40K</v>
      </c>
    </row>
    <row r="401" spans="1:16"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c r="O401">
        <f t="shared" si="6"/>
        <v>1</v>
      </c>
      <c r="P401" t="str" cm="1">
        <f t="array" ref="P401">_xlfn.IFS(D401&lt;=40000,"1. Up to 40K",D401&lt;=60000,"2. 40-60K",D401&lt;=80000,"3. 60-80K",TRUE,"4. Over 80K")</f>
        <v>1. Up to 40K</v>
      </c>
    </row>
    <row r="402" spans="1:16" x14ac:dyDescent="0.25">
      <c r="A402">
        <v>25792</v>
      </c>
      <c r="B402" t="s">
        <v>51</v>
      </c>
      <c r="C402" t="s">
        <v>52</v>
      </c>
      <c r="D402" s="1">
        <v>110000</v>
      </c>
      <c r="E402">
        <v>3</v>
      </c>
      <c r="F402" t="s">
        <v>13</v>
      </c>
      <c r="G402" t="s">
        <v>28</v>
      </c>
      <c r="H402" t="s">
        <v>15</v>
      </c>
      <c r="I402">
        <v>4</v>
      </c>
      <c r="J402" t="s">
        <v>72</v>
      </c>
      <c r="K402" t="s">
        <v>17</v>
      </c>
      <c r="L402">
        <v>53</v>
      </c>
      <c r="M402" t="str" cm="1">
        <f t="array" ref="M402">_xlfn.IFS(L402&lt;31, "Young Adult", L402&lt;=55, "Middle Age", L402&gt;55, "Old")</f>
        <v>Middle Age</v>
      </c>
      <c r="N402" t="s">
        <v>18</v>
      </c>
      <c r="O402">
        <f t="shared" si="6"/>
        <v>0</v>
      </c>
      <c r="P402" t="str" cm="1">
        <f t="array" ref="P402">_xlfn.IFS(D402&lt;=40000,"1. Up to 40K",D402&lt;=60000,"2. 40-60K",D402&lt;=80000,"3. 60-80K",TRUE,"4. Over 80K")</f>
        <v>4. Over 80K</v>
      </c>
    </row>
    <row r="403" spans="1:16"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c r="O403">
        <f t="shared" si="6"/>
        <v>0</v>
      </c>
      <c r="P403" t="str" cm="1">
        <f t="array" ref="P403">_xlfn.IFS(D403&lt;=40000,"1. Up to 40K",D403&lt;=60000,"2. 40-60K",D403&lt;=80000,"3. 60-80K",TRUE,"4. Over 80K")</f>
        <v>1. Up to 40K</v>
      </c>
    </row>
    <row r="404" spans="1:16"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c r="O404">
        <f t="shared" si="6"/>
        <v>0</v>
      </c>
      <c r="P404" t="str" cm="1">
        <f t="array" ref="P404">_xlfn.IFS(D404&lt;=40000,"1. Up to 40K",D404&lt;=60000,"2. 40-60K",D404&lt;=80000,"3. 60-80K",TRUE,"4. Over 80K")</f>
        <v>1. Up to 40K</v>
      </c>
    </row>
    <row r="405" spans="1:16"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c r="O405">
        <f t="shared" si="6"/>
        <v>0</v>
      </c>
      <c r="P405" t="str" cm="1">
        <f t="array" ref="P405">_xlfn.IFS(D405&lt;=40000,"1. Up to 40K",D405&lt;=60000,"2. 40-60K",D405&lt;=80000,"3. 60-80K",TRUE,"4. Over 80K")</f>
        <v>1. Up to 40K</v>
      </c>
    </row>
    <row r="406" spans="1:16"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c r="O406">
        <f t="shared" si="6"/>
        <v>1</v>
      </c>
      <c r="P406" t="str" cm="1">
        <f t="array" ref="P406">_xlfn.IFS(D406&lt;=40000,"1. Up to 40K",D406&lt;=60000,"2. 40-60K",D406&lt;=80000,"3. 60-80K",TRUE,"4. Over 80K")</f>
        <v>1. Up to 40K</v>
      </c>
    </row>
    <row r="407" spans="1:16"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c r="O407">
        <f t="shared" si="6"/>
        <v>1</v>
      </c>
      <c r="P407" t="str" cm="1">
        <f t="array" ref="P407">_xlfn.IFS(D407&lt;=40000,"1. Up to 40K",D407&lt;=60000,"2. 40-60K",D407&lt;=80000,"3. 60-80K",TRUE,"4. Over 80K")</f>
        <v>1. Up to 40K</v>
      </c>
    </row>
    <row r="408" spans="1:16"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c r="O408">
        <f t="shared" si="6"/>
        <v>0</v>
      </c>
      <c r="P408" t="str" cm="1">
        <f t="array" ref="P408">_xlfn.IFS(D408&lt;=40000,"1. Up to 40K",D408&lt;=60000,"2. 40-60K",D408&lt;=80000,"3. 60-80K",TRUE,"4. Over 80K")</f>
        <v>1. Up to 40K</v>
      </c>
    </row>
    <row r="409" spans="1:16"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c r="O409">
        <f t="shared" si="6"/>
        <v>1</v>
      </c>
      <c r="P409" t="str" cm="1">
        <f t="array" ref="P409">_xlfn.IFS(D409&lt;=40000,"1. Up to 40K",D409&lt;=60000,"2. 40-60K",D409&lt;=80000,"3. 60-80K",TRUE,"4. Over 80K")</f>
        <v>4. Over 80K</v>
      </c>
    </row>
    <row r="410" spans="1:16"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c r="O410">
        <f t="shared" si="6"/>
        <v>0</v>
      </c>
      <c r="P410" t="str" cm="1">
        <f t="array" ref="P410">_xlfn.IFS(D410&lt;=40000,"1. Up to 40K",D410&lt;=60000,"2. 40-60K",D410&lt;=80000,"3. 60-80K",TRUE,"4. Over 80K")</f>
        <v>1. Up to 40K</v>
      </c>
    </row>
    <row r="411" spans="1:16"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c r="O411">
        <f t="shared" si="6"/>
        <v>0</v>
      </c>
      <c r="P411" t="str" cm="1">
        <f t="array" ref="P411">_xlfn.IFS(D411&lt;=40000,"1. Up to 40K",D411&lt;=60000,"2. 40-60K",D411&lt;=80000,"3. 60-80K",TRUE,"4. Over 80K")</f>
        <v>4. Over 80K</v>
      </c>
    </row>
    <row r="412" spans="1:16"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c r="O412">
        <f t="shared" si="6"/>
        <v>1</v>
      </c>
      <c r="P412" t="str" cm="1">
        <f t="array" ref="P412">_xlfn.IFS(D412&lt;=40000,"1. Up to 40K",D412&lt;=60000,"2. 40-60K",D412&lt;=80000,"3. 60-80K",TRUE,"4. Over 80K")</f>
        <v>1. Up to 40K</v>
      </c>
    </row>
    <row r="413" spans="1:16"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c r="O413">
        <f t="shared" si="6"/>
        <v>0</v>
      </c>
      <c r="P413" t="str" cm="1">
        <f t="array" ref="P413">_xlfn.IFS(D413&lt;=40000,"1. Up to 40K",D413&lt;=60000,"2. 40-60K",D413&lt;=80000,"3. 60-80K",TRUE,"4. Over 80K")</f>
        <v>3. 60-80K</v>
      </c>
    </row>
    <row r="414" spans="1:16"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c r="O414">
        <f t="shared" si="6"/>
        <v>0</v>
      </c>
      <c r="P414" t="str" cm="1">
        <f t="array" ref="P414">_xlfn.IFS(D414&lt;=40000,"1. Up to 40K",D414&lt;=60000,"2. 40-60K",D414&lt;=80000,"3. 60-80K",TRUE,"4. Over 80K")</f>
        <v>1. Up to 40K</v>
      </c>
    </row>
    <row r="415" spans="1:16"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c r="O415">
        <f t="shared" si="6"/>
        <v>0</v>
      </c>
      <c r="P415" t="str" cm="1">
        <f t="array" ref="P415">_xlfn.IFS(D415&lt;=40000,"1. Up to 40K",D415&lt;=60000,"2. 40-60K",D415&lt;=80000,"3. 60-80K",TRUE,"4. Over 80K")</f>
        <v>1. Up to 40K</v>
      </c>
    </row>
    <row r="416" spans="1:16"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c r="O416">
        <f t="shared" si="6"/>
        <v>1</v>
      </c>
      <c r="P416" t="str" cm="1">
        <f t="array" ref="P416">_xlfn.IFS(D416&lt;=40000,"1. Up to 40K",D416&lt;=60000,"2. 40-60K",D416&lt;=80000,"3. 60-80K",TRUE,"4. Over 80K")</f>
        <v>1. Up to 40K</v>
      </c>
    </row>
    <row r="417" spans="1:16"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c r="O417">
        <f t="shared" si="6"/>
        <v>0</v>
      </c>
      <c r="P417" t="str" cm="1">
        <f t="array" ref="P417">_xlfn.IFS(D417&lt;=40000,"1. Up to 40K",D417&lt;=60000,"2. 40-60K",D417&lt;=80000,"3. 60-80K",TRUE,"4. Over 80K")</f>
        <v>3. 60-80K</v>
      </c>
    </row>
    <row r="418" spans="1:16"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c r="O418">
        <f t="shared" si="6"/>
        <v>1</v>
      </c>
      <c r="P418" t="str" cm="1">
        <f t="array" ref="P418">_xlfn.IFS(D418&lt;=40000,"1. Up to 40K",D418&lt;=60000,"2. 40-60K",D418&lt;=80000,"3. 60-80K",TRUE,"4. Over 80K")</f>
        <v>2. 40-60K</v>
      </c>
    </row>
    <row r="419" spans="1:16"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c r="O419">
        <f t="shared" si="6"/>
        <v>0</v>
      </c>
      <c r="P419" t="str" cm="1">
        <f t="array" ref="P419">_xlfn.IFS(D419&lt;=40000,"1. Up to 40K",D419&lt;=60000,"2. 40-60K",D419&lt;=80000,"3. 60-80K",TRUE,"4. Over 80K")</f>
        <v>1. Up to 40K</v>
      </c>
    </row>
    <row r="420" spans="1:16"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c r="O420">
        <f t="shared" si="6"/>
        <v>1</v>
      </c>
      <c r="P420" t="str" cm="1">
        <f t="array" ref="P420">_xlfn.IFS(D420&lt;=40000,"1. Up to 40K",D420&lt;=60000,"2. 40-60K",D420&lt;=80000,"3. 60-80K",TRUE,"4. Over 80K")</f>
        <v>1. Up to 40K</v>
      </c>
    </row>
    <row r="421" spans="1:16"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c r="O421">
        <f t="shared" si="6"/>
        <v>1</v>
      </c>
      <c r="P421" t="str" cm="1">
        <f t="array" ref="P421">_xlfn.IFS(D421&lt;=40000,"1. Up to 40K",D421&lt;=60000,"2. 40-60K",D421&lt;=80000,"3. 60-80K",TRUE,"4. Over 80K")</f>
        <v>1. Up to 40K</v>
      </c>
    </row>
    <row r="422" spans="1:16" x14ac:dyDescent="0.25">
      <c r="A422">
        <v>18153</v>
      </c>
      <c r="B422" t="s">
        <v>50</v>
      </c>
      <c r="C422" t="s">
        <v>52</v>
      </c>
      <c r="D422" s="1">
        <v>100000</v>
      </c>
      <c r="E422">
        <v>2</v>
      </c>
      <c r="F422" t="s">
        <v>13</v>
      </c>
      <c r="G422" t="s">
        <v>28</v>
      </c>
      <c r="H422" t="s">
        <v>15</v>
      </c>
      <c r="I422">
        <v>4</v>
      </c>
      <c r="J422" t="s">
        <v>72</v>
      </c>
      <c r="K422" t="s">
        <v>17</v>
      </c>
      <c r="L422">
        <v>59</v>
      </c>
      <c r="M422" t="str" cm="1">
        <f t="array" ref="M422">_xlfn.IFS(L422&lt;31, "Young Adult", L422&lt;=55, "Middle Age", L422&gt;55, "Old")</f>
        <v>Old</v>
      </c>
      <c r="N422" t="s">
        <v>18</v>
      </c>
      <c r="O422">
        <f t="shared" si="6"/>
        <v>0</v>
      </c>
      <c r="P422" t="str" cm="1">
        <f t="array" ref="P422">_xlfn.IFS(D422&lt;=40000,"1. Up to 40K",D422&lt;=60000,"2. 40-60K",D422&lt;=80000,"3. 60-80K",TRUE,"4. Over 80K")</f>
        <v>4. Over 80K</v>
      </c>
    </row>
    <row r="423" spans="1:16"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c r="O423">
        <f t="shared" si="6"/>
        <v>0</v>
      </c>
      <c r="P423" t="str" cm="1">
        <f t="array" ref="P423">_xlfn.IFS(D423&lt;=40000,"1. Up to 40K",D423&lt;=60000,"2. 40-60K",D423&lt;=80000,"3. 60-80K",TRUE,"4. Over 80K")</f>
        <v>1. Up to 40K</v>
      </c>
    </row>
    <row r="424" spans="1:16" x14ac:dyDescent="0.25">
      <c r="A424">
        <v>24901</v>
      </c>
      <c r="B424" t="s">
        <v>51</v>
      </c>
      <c r="C424" t="s">
        <v>53</v>
      </c>
      <c r="D424" s="1">
        <v>110000</v>
      </c>
      <c r="E424">
        <v>0</v>
      </c>
      <c r="F424" t="s">
        <v>19</v>
      </c>
      <c r="G424" t="s">
        <v>28</v>
      </c>
      <c r="H424" t="s">
        <v>18</v>
      </c>
      <c r="I424">
        <v>3</v>
      </c>
      <c r="J424" t="s">
        <v>72</v>
      </c>
      <c r="K424" t="s">
        <v>24</v>
      </c>
      <c r="L424">
        <v>32</v>
      </c>
      <c r="M424" t="str" cm="1">
        <f t="array" ref="M424">_xlfn.IFS(L424&lt;31, "Young Adult", L424&lt;=55, "Middle Age", L424&gt;55, "Old")</f>
        <v>Middle Age</v>
      </c>
      <c r="N424" t="s">
        <v>15</v>
      </c>
      <c r="O424">
        <f t="shared" si="6"/>
        <v>1</v>
      </c>
      <c r="P424" t="str" cm="1">
        <f t="array" ref="P424">_xlfn.IFS(D424&lt;=40000,"1. Up to 40K",D424&lt;=60000,"2. 40-60K",D424&lt;=80000,"3. 60-80K",TRUE,"4. Over 80K")</f>
        <v>4. Over 80K</v>
      </c>
    </row>
    <row r="425" spans="1:16"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c r="O425">
        <f t="shared" si="6"/>
        <v>1</v>
      </c>
      <c r="P425" t="str" cm="1">
        <f t="array" ref="P425">_xlfn.IFS(D425&lt;=40000,"1. Up to 40K",D425&lt;=60000,"2. 40-60K",D425&lt;=80000,"3. 60-80K",TRUE,"4. Over 80K")</f>
        <v>1. Up to 40K</v>
      </c>
    </row>
    <row r="426" spans="1:16"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c r="O426">
        <f t="shared" si="6"/>
        <v>0</v>
      </c>
      <c r="P426" t="str" cm="1">
        <f t="array" ref="P426">_xlfn.IFS(D426&lt;=40000,"1. Up to 40K",D426&lt;=60000,"2. 40-60K",D426&lt;=80000,"3. 60-80K",TRUE,"4. Over 80K")</f>
        <v>1. Up to 40K</v>
      </c>
    </row>
    <row r="427" spans="1:16"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c r="O427">
        <f t="shared" si="6"/>
        <v>0</v>
      </c>
      <c r="P427" t="str" cm="1">
        <f t="array" ref="P427">_xlfn.IFS(D427&lt;=40000,"1. Up to 40K",D427&lt;=60000,"2. 40-60K",D427&lt;=80000,"3. 60-80K",TRUE,"4. Over 80K")</f>
        <v>1. Up to 40K</v>
      </c>
    </row>
    <row r="428" spans="1:16"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c r="O428">
        <f t="shared" si="6"/>
        <v>0</v>
      </c>
      <c r="P428" t="str" cm="1">
        <f t="array" ref="P428">_xlfn.IFS(D428&lt;=40000,"1. Up to 40K",D428&lt;=60000,"2. 40-60K",D428&lt;=80000,"3. 60-80K",TRUE,"4. Over 80K")</f>
        <v>1. Up to 40K</v>
      </c>
    </row>
    <row r="429" spans="1:16"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c r="O429">
        <f t="shared" si="6"/>
        <v>1</v>
      </c>
      <c r="P429" t="str" cm="1">
        <f t="array" ref="P429">_xlfn.IFS(D429&lt;=40000,"1. Up to 40K",D429&lt;=60000,"2. 40-60K",D429&lt;=80000,"3. 60-80K",TRUE,"4. Over 80K")</f>
        <v>4. Over 80K</v>
      </c>
    </row>
    <row r="430" spans="1:16"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c r="O430">
        <f t="shared" si="6"/>
        <v>0</v>
      </c>
      <c r="P430" t="str" cm="1">
        <f t="array" ref="P430">_xlfn.IFS(D430&lt;=40000,"1. Up to 40K",D430&lt;=60000,"2. 40-60K",D430&lt;=80000,"3. 60-80K",TRUE,"4. Over 80K")</f>
        <v>4. Over 80K</v>
      </c>
    </row>
    <row r="431" spans="1:16"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c r="O431">
        <f t="shared" si="6"/>
        <v>0</v>
      </c>
      <c r="P431" t="str" cm="1">
        <f t="array" ref="P431">_xlfn.IFS(D431&lt;=40000,"1. Up to 40K",D431&lt;=60000,"2. 40-60K",D431&lt;=80000,"3. 60-80K",TRUE,"4. Over 80K")</f>
        <v>1. Up to 40K</v>
      </c>
    </row>
    <row r="432" spans="1:16"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c r="O432">
        <f t="shared" si="6"/>
        <v>0</v>
      </c>
      <c r="P432" t="str" cm="1">
        <f t="array" ref="P432">_xlfn.IFS(D432&lt;=40000,"1. Up to 40K",D432&lt;=60000,"2. 40-60K",D432&lt;=80000,"3. 60-80K",TRUE,"4. Over 80K")</f>
        <v>1. Up to 40K</v>
      </c>
    </row>
    <row r="433" spans="1:16"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c r="O433">
        <f t="shared" si="6"/>
        <v>1</v>
      </c>
      <c r="P433" t="str" cm="1">
        <f t="array" ref="P433">_xlfn.IFS(D433&lt;=40000,"1. Up to 40K",D433&lt;=60000,"2. 40-60K",D433&lt;=80000,"3. 60-80K",TRUE,"4. Over 80K")</f>
        <v>1. Up to 40K</v>
      </c>
    </row>
    <row r="434" spans="1:16" x14ac:dyDescent="0.25">
      <c r="A434">
        <v>21891</v>
      </c>
      <c r="B434" t="s">
        <v>50</v>
      </c>
      <c r="C434" t="s">
        <v>52</v>
      </c>
      <c r="D434" s="1">
        <v>110000</v>
      </c>
      <c r="E434">
        <v>0</v>
      </c>
      <c r="F434" t="s">
        <v>27</v>
      </c>
      <c r="G434" t="s">
        <v>28</v>
      </c>
      <c r="H434" t="s">
        <v>15</v>
      </c>
      <c r="I434">
        <v>3</v>
      </c>
      <c r="J434" t="s">
        <v>72</v>
      </c>
      <c r="K434" t="s">
        <v>24</v>
      </c>
      <c r="L434">
        <v>34</v>
      </c>
      <c r="M434" t="str" cm="1">
        <f t="array" ref="M434">_xlfn.IFS(L434&lt;31, "Young Adult", L434&lt;=55, "Middle Age", L434&gt;55, "Old")</f>
        <v>Middle Age</v>
      </c>
      <c r="N434" t="s">
        <v>15</v>
      </c>
      <c r="O434">
        <f t="shared" si="6"/>
        <v>1</v>
      </c>
      <c r="P434" t="str" cm="1">
        <f t="array" ref="P434">_xlfn.IFS(D434&lt;=40000,"1. Up to 40K",D434&lt;=60000,"2. 40-60K",D434&lt;=80000,"3. 60-80K",TRUE,"4. Over 80K")</f>
        <v>4. Over 80K</v>
      </c>
    </row>
    <row r="435" spans="1:16"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c r="O435">
        <f t="shared" si="6"/>
        <v>0</v>
      </c>
      <c r="P435" t="str" cm="1">
        <f t="array" ref="P435">_xlfn.IFS(D435&lt;=40000,"1. Up to 40K",D435&lt;=60000,"2. 40-60K",D435&lt;=80000,"3. 60-80K",TRUE,"4. Over 80K")</f>
        <v>1. Up to 40K</v>
      </c>
    </row>
    <row r="436" spans="1:16"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c r="O436">
        <f t="shared" si="6"/>
        <v>1</v>
      </c>
      <c r="P436" t="str" cm="1">
        <f t="array" ref="P436">_xlfn.IFS(D436&lt;=40000,"1. Up to 40K",D436&lt;=60000,"2. 40-60K",D436&lt;=80000,"3. 60-80K",TRUE,"4. Over 80K")</f>
        <v>1. Up to 40K</v>
      </c>
    </row>
    <row r="437" spans="1:16"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c r="O437">
        <f t="shared" si="6"/>
        <v>0</v>
      </c>
      <c r="P437" t="str" cm="1">
        <f t="array" ref="P437">_xlfn.IFS(D437&lt;=40000,"1. Up to 40K",D437&lt;=60000,"2. 40-60K",D437&lt;=80000,"3. 60-80K",TRUE,"4. Over 80K")</f>
        <v>1. Up to 40K</v>
      </c>
    </row>
    <row r="438" spans="1:16"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c r="O438">
        <f t="shared" si="6"/>
        <v>1</v>
      </c>
      <c r="P438" t="str" cm="1">
        <f t="array" ref="P438">_xlfn.IFS(D438&lt;=40000,"1. Up to 40K",D438&lt;=60000,"2. 40-60K",D438&lt;=80000,"3. 60-80K",TRUE,"4. Over 80K")</f>
        <v>3. 60-80K</v>
      </c>
    </row>
    <row r="439" spans="1:16"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c r="O439">
        <f t="shared" si="6"/>
        <v>1</v>
      </c>
      <c r="P439" t="str" cm="1">
        <f t="array" ref="P439">_xlfn.IFS(D439&lt;=40000,"1. Up to 40K",D439&lt;=60000,"2. 40-60K",D439&lt;=80000,"3. 60-80K",TRUE,"4. Over 80K")</f>
        <v>1. Up to 40K</v>
      </c>
    </row>
    <row r="440" spans="1:16"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c r="O440">
        <f t="shared" si="6"/>
        <v>1</v>
      </c>
      <c r="P440" t="str" cm="1">
        <f t="array" ref="P440">_xlfn.IFS(D440&lt;=40000,"1. Up to 40K",D440&lt;=60000,"2. 40-60K",D440&lt;=80000,"3. 60-80K",TRUE,"4. Over 80K")</f>
        <v>3. 60-80K</v>
      </c>
    </row>
    <row r="441" spans="1:16"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c r="O441">
        <f t="shared" si="6"/>
        <v>0</v>
      </c>
      <c r="P441" t="str" cm="1">
        <f t="array" ref="P441">_xlfn.IFS(D441&lt;=40000,"1. Up to 40K",D441&lt;=60000,"2. 40-60K",D441&lt;=80000,"3. 60-80K",TRUE,"4. Over 80K")</f>
        <v>3. 60-80K</v>
      </c>
    </row>
    <row r="442" spans="1:16" x14ac:dyDescent="0.25">
      <c r="A442">
        <v>21561</v>
      </c>
      <c r="B442" t="s">
        <v>51</v>
      </c>
      <c r="C442" t="s">
        <v>53</v>
      </c>
      <c r="D442" s="1">
        <v>90000</v>
      </c>
      <c r="E442">
        <v>0</v>
      </c>
      <c r="F442" t="s">
        <v>13</v>
      </c>
      <c r="G442" t="s">
        <v>21</v>
      </c>
      <c r="H442" t="s">
        <v>18</v>
      </c>
      <c r="I442">
        <v>3</v>
      </c>
      <c r="J442" t="s">
        <v>72</v>
      </c>
      <c r="K442" t="s">
        <v>24</v>
      </c>
      <c r="L442">
        <v>34</v>
      </c>
      <c r="M442" t="str" cm="1">
        <f t="array" ref="M442">_xlfn.IFS(L442&lt;31, "Young Adult", L442&lt;=55, "Middle Age", L442&gt;55, "Old")</f>
        <v>Middle Age</v>
      </c>
      <c r="N442" t="s">
        <v>15</v>
      </c>
      <c r="O442">
        <f t="shared" si="6"/>
        <v>1</v>
      </c>
      <c r="P442" t="str" cm="1">
        <f t="array" ref="P442">_xlfn.IFS(D442&lt;=40000,"1. Up to 40K",D442&lt;=60000,"2. 40-60K",D442&lt;=80000,"3. 60-80K",TRUE,"4. Over 80K")</f>
        <v>4. Over 80K</v>
      </c>
    </row>
    <row r="443" spans="1:16"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c r="O443">
        <f t="shared" si="6"/>
        <v>1</v>
      </c>
      <c r="P443" t="str" cm="1">
        <f t="array" ref="P443">_xlfn.IFS(D443&lt;=40000,"1. Up to 40K",D443&lt;=60000,"2. 40-60K",D443&lt;=80000,"3. 60-80K",TRUE,"4. Over 80K")</f>
        <v>3. 60-80K</v>
      </c>
    </row>
    <row r="444" spans="1:16"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c r="O444">
        <f t="shared" si="6"/>
        <v>1</v>
      </c>
      <c r="P444" t="str" cm="1">
        <f t="array" ref="P444">_xlfn.IFS(D444&lt;=40000,"1. Up to 40K",D444&lt;=60000,"2. 40-60K",D444&lt;=80000,"3. 60-80K",TRUE,"4. Over 80K")</f>
        <v>3. 60-80K</v>
      </c>
    </row>
    <row r="445" spans="1:16"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c r="O445">
        <f t="shared" si="6"/>
        <v>1</v>
      </c>
      <c r="P445" t="str" cm="1">
        <f t="array" ref="P445">_xlfn.IFS(D445&lt;=40000,"1. Up to 40K",D445&lt;=60000,"2. 40-60K",D445&lt;=80000,"3. 60-80K",TRUE,"4. Over 80K")</f>
        <v>1. Up to 40K</v>
      </c>
    </row>
    <row r="446" spans="1:16"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c r="O446">
        <f t="shared" si="6"/>
        <v>0</v>
      </c>
      <c r="P446" t="str" cm="1">
        <f t="array" ref="P446">_xlfn.IFS(D446&lt;=40000,"1. Up to 40K",D446&lt;=60000,"2. 40-60K",D446&lt;=80000,"3. 60-80K",TRUE,"4. Over 80K")</f>
        <v>1. Up to 40K</v>
      </c>
    </row>
    <row r="447" spans="1:16"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c r="O447">
        <f t="shared" si="6"/>
        <v>1</v>
      </c>
      <c r="P447" t="str" cm="1">
        <f t="array" ref="P447">_xlfn.IFS(D447&lt;=40000,"1. Up to 40K",D447&lt;=60000,"2. 40-60K",D447&lt;=80000,"3. 60-80K",TRUE,"4. Over 80K")</f>
        <v>1. Up to 40K</v>
      </c>
    </row>
    <row r="448" spans="1:16" x14ac:dyDescent="0.25">
      <c r="A448">
        <v>14278</v>
      </c>
      <c r="B448" t="s">
        <v>50</v>
      </c>
      <c r="C448" t="s">
        <v>52</v>
      </c>
      <c r="D448" s="1">
        <v>130000</v>
      </c>
      <c r="E448">
        <v>0</v>
      </c>
      <c r="F448" t="s">
        <v>31</v>
      </c>
      <c r="G448" t="s">
        <v>28</v>
      </c>
      <c r="H448" t="s">
        <v>15</v>
      </c>
      <c r="I448">
        <v>1</v>
      </c>
      <c r="J448" t="s">
        <v>72</v>
      </c>
      <c r="K448" t="s">
        <v>24</v>
      </c>
      <c r="L448">
        <v>48</v>
      </c>
      <c r="M448" t="str" cm="1">
        <f t="array" ref="M448">_xlfn.IFS(L448&lt;31, "Young Adult", L448&lt;=55, "Middle Age", L448&gt;55, "Old")</f>
        <v>Middle Age</v>
      </c>
      <c r="N448" t="s">
        <v>18</v>
      </c>
      <c r="O448">
        <f t="shared" si="6"/>
        <v>0</v>
      </c>
      <c r="P448" t="str" cm="1">
        <f t="array" ref="P448">_xlfn.IFS(D448&lt;=40000,"1. Up to 40K",D448&lt;=60000,"2. 40-60K",D448&lt;=80000,"3. 60-80K",TRUE,"4. Over 80K")</f>
        <v>4. Over 80K</v>
      </c>
    </row>
    <row r="449" spans="1:16"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c r="O449">
        <f t="shared" si="6"/>
        <v>1</v>
      </c>
      <c r="P449" t="str" cm="1">
        <f t="array" ref="P449">_xlfn.IFS(D449&lt;=40000,"1. Up to 40K",D449&lt;=60000,"2. 40-60K",D449&lt;=80000,"3. 60-80K",TRUE,"4. Over 80K")</f>
        <v>1. Up to 40K</v>
      </c>
    </row>
    <row r="450" spans="1:16"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c r="O450">
        <f t="shared" si="6"/>
        <v>0</v>
      </c>
      <c r="P450" t="str" cm="1">
        <f t="array" ref="P450">_xlfn.IFS(D450&lt;=40000,"1. Up to 40K",D450&lt;=60000,"2. 40-60K",D450&lt;=80000,"3. 60-80K",TRUE,"4. Over 80K")</f>
        <v>1. Up to 40K</v>
      </c>
    </row>
    <row r="451" spans="1:16"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c r="O451">
        <f t="shared" ref="O451:O514" si="7">IF(N451="Yes",1,0)</f>
        <v>0</v>
      </c>
      <c r="P451" t="str" cm="1">
        <f t="array" ref="P451">_xlfn.IFS(D451&lt;=40000,"1. Up to 40K",D451&lt;=60000,"2. 40-60K",D451&lt;=80000,"3. 60-80K",TRUE,"4. Over 80K")</f>
        <v>1. Up to 40K</v>
      </c>
    </row>
    <row r="452" spans="1:16"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c r="O452">
        <f t="shared" si="7"/>
        <v>1</v>
      </c>
      <c r="P452" t="str" cm="1">
        <f t="array" ref="P452">_xlfn.IFS(D452&lt;=40000,"1. Up to 40K",D452&lt;=60000,"2. 40-60K",D452&lt;=80000,"3. 60-80K",TRUE,"4. Over 80K")</f>
        <v>1. Up to 40K</v>
      </c>
    </row>
    <row r="453" spans="1:16"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c r="O453">
        <f t="shared" si="7"/>
        <v>0</v>
      </c>
      <c r="P453" t="str" cm="1">
        <f t="array" ref="P453">_xlfn.IFS(D453&lt;=40000,"1. Up to 40K",D453&lt;=60000,"2. 40-60K",D453&lt;=80000,"3. 60-80K",TRUE,"4. Over 80K")</f>
        <v>1. Up to 40K</v>
      </c>
    </row>
    <row r="454" spans="1:16"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c r="O454">
        <f t="shared" si="7"/>
        <v>0</v>
      </c>
      <c r="P454" t="str" cm="1">
        <f t="array" ref="P454">_xlfn.IFS(D454&lt;=40000,"1. Up to 40K",D454&lt;=60000,"2. 40-60K",D454&lt;=80000,"3. 60-80K",TRUE,"4. Over 80K")</f>
        <v>1. Up to 40K</v>
      </c>
    </row>
    <row r="455" spans="1:16"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c r="O455">
        <f t="shared" si="7"/>
        <v>0</v>
      </c>
      <c r="P455" t="str" cm="1">
        <f t="array" ref="P455">_xlfn.IFS(D455&lt;=40000,"1. Up to 40K",D455&lt;=60000,"2. 40-60K",D455&lt;=80000,"3. 60-80K",TRUE,"4. Over 80K")</f>
        <v>3. 60-80K</v>
      </c>
    </row>
    <row r="456" spans="1:16"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c r="O456">
        <f t="shared" si="7"/>
        <v>0</v>
      </c>
      <c r="P456" t="str" cm="1">
        <f t="array" ref="P456">_xlfn.IFS(D456&lt;=40000,"1. Up to 40K",D456&lt;=60000,"2. 40-60K",D456&lt;=80000,"3. 60-80K",TRUE,"4. Over 80K")</f>
        <v>1. Up to 40K</v>
      </c>
    </row>
    <row r="457" spans="1:16"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c r="O457">
        <f t="shared" si="7"/>
        <v>1</v>
      </c>
      <c r="P457" t="str" cm="1">
        <f t="array" ref="P457">_xlfn.IFS(D457&lt;=40000,"1. Up to 40K",D457&lt;=60000,"2. 40-60K",D457&lt;=80000,"3. 60-80K",TRUE,"4. Over 80K")</f>
        <v>3. 60-80K</v>
      </c>
    </row>
    <row r="458" spans="1:16"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c r="O458">
        <f t="shared" si="7"/>
        <v>0</v>
      </c>
      <c r="P458" t="str" cm="1">
        <f t="array" ref="P458">_xlfn.IFS(D458&lt;=40000,"1. Up to 40K",D458&lt;=60000,"2. 40-60K",D458&lt;=80000,"3. 60-80K",TRUE,"4. Over 80K")</f>
        <v>4. Over 80K</v>
      </c>
    </row>
    <row r="459" spans="1:16"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c r="O459">
        <f t="shared" si="7"/>
        <v>0</v>
      </c>
      <c r="P459" t="str" cm="1">
        <f t="array" ref="P459">_xlfn.IFS(D459&lt;=40000,"1. Up to 40K",D459&lt;=60000,"2. 40-60K",D459&lt;=80000,"3. 60-80K",TRUE,"4. Over 80K")</f>
        <v>1. Up to 40K</v>
      </c>
    </row>
    <row r="460" spans="1:16" x14ac:dyDescent="0.25">
      <c r="A460">
        <v>21560</v>
      </c>
      <c r="B460" t="s">
        <v>50</v>
      </c>
      <c r="C460" t="s">
        <v>53</v>
      </c>
      <c r="D460" s="1">
        <v>120000</v>
      </c>
      <c r="E460">
        <v>0</v>
      </c>
      <c r="F460" t="s">
        <v>29</v>
      </c>
      <c r="G460" t="s">
        <v>21</v>
      </c>
      <c r="H460" t="s">
        <v>15</v>
      </c>
      <c r="I460">
        <v>4</v>
      </c>
      <c r="J460" t="s">
        <v>72</v>
      </c>
      <c r="K460" t="s">
        <v>24</v>
      </c>
      <c r="L460">
        <v>32</v>
      </c>
      <c r="M460" t="str" cm="1">
        <f t="array" ref="M460">_xlfn.IFS(L460&lt;31, "Young Adult", L460&lt;=55, "Middle Age", L460&gt;55, "Old")</f>
        <v>Middle Age</v>
      </c>
      <c r="N460" t="s">
        <v>15</v>
      </c>
      <c r="O460">
        <f t="shared" si="7"/>
        <v>1</v>
      </c>
      <c r="P460" t="str" cm="1">
        <f t="array" ref="P460">_xlfn.IFS(D460&lt;=40000,"1. Up to 40K",D460&lt;=60000,"2. 40-60K",D460&lt;=80000,"3. 60-80K",TRUE,"4. Over 80K")</f>
        <v>4. Over 80K</v>
      </c>
    </row>
    <row r="461" spans="1:16" x14ac:dyDescent="0.25">
      <c r="A461">
        <v>21554</v>
      </c>
      <c r="B461" t="s">
        <v>51</v>
      </c>
      <c r="C461" t="s">
        <v>52</v>
      </c>
      <c r="D461" s="1">
        <v>80000</v>
      </c>
      <c r="E461">
        <v>0</v>
      </c>
      <c r="F461" t="s">
        <v>13</v>
      </c>
      <c r="G461" t="s">
        <v>21</v>
      </c>
      <c r="H461" t="s">
        <v>18</v>
      </c>
      <c r="I461">
        <v>3</v>
      </c>
      <c r="J461" t="s">
        <v>72</v>
      </c>
      <c r="K461" t="s">
        <v>24</v>
      </c>
      <c r="L461">
        <v>33</v>
      </c>
      <c r="M461" t="str" cm="1">
        <f t="array" ref="M461">_xlfn.IFS(L461&lt;31, "Young Adult", L461&lt;=55, "Middle Age", L461&gt;55, "Old")</f>
        <v>Middle Age</v>
      </c>
      <c r="N461" t="s">
        <v>18</v>
      </c>
      <c r="O461">
        <f t="shared" si="7"/>
        <v>0</v>
      </c>
      <c r="P461" t="str" cm="1">
        <f t="array" ref="P461">_xlfn.IFS(D461&lt;=40000,"1. Up to 40K",D461&lt;=60000,"2. 40-60K",D461&lt;=80000,"3. 60-80K",TRUE,"4. Over 80K")</f>
        <v>3. 60-80K</v>
      </c>
    </row>
    <row r="462" spans="1:16"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c r="O462">
        <f t="shared" si="7"/>
        <v>1</v>
      </c>
      <c r="P462" t="str" cm="1">
        <f t="array" ref="P462">_xlfn.IFS(D462&lt;=40000,"1. Up to 40K",D462&lt;=60000,"2. 40-60K",D462&lt;=80000,"3. 60-80K",TRUE,"4. Over 80K")</f>
        <v>1. Up to 40K</v>
      </c>
    </row>
    <row r="463" spans="1:16"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c r="O463">
        <f t="shared" si="7"/>
        <v>1</v>
      </c>
      <c r="P463" t="str" cm="1">
        <f t="array" ref="P463">_xlfn.IFS(D463&lt;=40000,"1. Up to 40K",D463&lt;=60000,"2. 40-60K",D463&lt;=80000,"3. 60-80K",TRUE,"4. Over 80K")</f>
        <v>4. Over 80K</v>
      </c>
    </row>
    <row r="464" spans="1:16"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c r="O464">
        <f t="shared" si="7"/>
        <v>1</v>
      </c>
      <c r="P464" t="str" cm="1">
        <f t="array" ref="P464">_xlfn.IFS(D464&lt;=40000,"1. Up to 40K",D464&lt;=60000,"2. 40-60K",D464&lt;=80000,"3. 60-80K",TRUE,"4. Over 80K")</f>
        <v>1. Up to 40K</v>
      </c>
    </row>
    <row r="465" spans="1:16"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c r="O465">
        <f t="shared" si="7"/>
        <v>0</v>
      </c>
      <c r="P465" t="str" cm="1">
        <f t="array" ref="P465">_xlfn.IFS(D465&lt;=40000,"1. Up to 40K",D465&lt;=60000,"2. 40-60K",D465&lt;=80000,"3. 60-80K",TRUE,"4. Over 80K")</f>
        <v>1. Up to 40K</v>
      </c>
    </row>
    <row r="466" spans="1:16"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c r="O466">
        <f t="shared" si="7"/>
        <v>1</v>
      </c>
      <c r="P466" t="str" cm="1">
        <f t="array" ref="P466">_xlfn.IFS(D466&lt;=40000,"1. Up to 40K",D466&lt;=60000,"2. 40-60K",D466&lt;=80000,"3. 60-80K",TRUE,"4. Over 80K")</f>
        <v>1. Up to 40K</v>
      </c>
    </row>
    <row r="467" spans="1:16"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c r="O467">
        <f t="shared" si="7"/>
        <v>0</v>
      </c>
      <c r="P467" t="str" cm="1">
        <f t="array" ref="P467">_xlfn.IFS(D467&lt;=40000,"1. Up to 40K",D467&lt;=60000,"2. 40-60K",D467&lt;=80000,"3. 60-80K",TRUE,"4. Over 80K")</f>
        <v>1. Up to 40K</v>
      </c>
    </row>
    <row r="468" spans="1:16"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c r="O468">
        <f t="shared" si="7"/>
        <v>1</v>
      </c>
      <c r="P468" t="str" cm="1">
        <f t="array" ref="P468">_xlfn.IFS(D468&lt;=40000,"1. Up to 40K",D468&lt;=60000,"2. 40-60K",D468&lt;=80000,"3. 60-80K",TRUE,"4. Over 80K")</f>
        <v>1. Up to 40K</v>
      </c>
    </row>
    <row r="469" spans="1:16"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c r="O469">
        <f t="shared" si="7"/>
        <v>1</v>
      </c>
      <c r="P469" t="str" cm="1">
        <f t="array" ref="P469">_xlfn.IFS(D469&lt;=40000,"1. Up to 40K",D469&lt;=60000,"2. 40-60K",D469&lt;=80000,"3. 60-80K",TRUE,"4. Over 80K")</f>
        <v>4. Over 80K</v>
      </c>
    </row>
    <row r="470" spans="1:16"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c r="O470">
        <f t="shared" si="7"/>
        <v>0</v>
      </c>
      <c r="P470" t="str" cm="1">
        <f t="array" ref="P470">_xlfn.IFS(D470&lt;=40000,"1. Up to 40K",D470&lt;=60000,"2. 40-60K",D470&lt;=80000,"3. 60-80K",TRUE,"4. Over 80K")</f>
        <v>3. 60-80K</v>
      </c>
    </row>
    <row r="471" spans="1:16"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c r="O471">
        <f t="shared" si="7"/>
        <v>0</v>
      </c>
      <c r="P471" t="str" cm="1">
        <f t="array" ref="P471">_xlfn.IFS(D471&lt;=40000,"1. Up to 40K",D471&lt;=60000,"2. 40-60K",D471&lt;=80000,"3. 60-80K",TRUE,"4. Over 80K")</f>
        <v>1. Up to 40K</v>
      </c>
    </row>
    <row r="472" spans="1:16"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c r="O472">
        <f t="shared" si="7"/>
        <v>0</v>
      </c>
      <c r="P472" t="str" cm="1">
        <f t="array" ref="P472">_xlfn.IFS(D472&lt;=40000,"1. Up to 40K",D472&lt;=60000,"2. 40-60K",D472&lt;=80000,"3. 60-80K",TRUE,"4. Over 80K")</f>
        <v>1. Up to 40K</v>
      </c>
    </row>
    <row r="473" spans="1:16"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c r="O473">
        <f t="shared" si="7"/>
        <v>1</v>
      </c>
      <c r="P473" t="str" cm="1">
        <f t="array" ref="P473">_xlfn.IFS(D473&lt;=40000,"1. Up to 40K",D473&lt;=60000,"2. 40-60K",D473&lt;=80000,"3. 60-80K",TRUE,"4. Over 80K")</f>
        <v>3. 60-80K</v>
      </c>
    </row>
    <row r="474" spans="1:16"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c r="O474">
        <f t="shared" si="7"/>
        <v>1</v>
      </c>
      <c r="P474" t="str" cm="1">
        <f t="array" ref="P474">_xlfn.IFS(D474&lt;=40000,"1. Up to 40K",D474&lt;=60000,"2. 40-60K",D474&lt;=80000,"3. 60-80K",TRUE,"4. Over 80K")</f>
        <v>1. Up to 40K</v>
      </c>
    </row>
    <row r="475" spans="1:16"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c r="O475">
        <f t="shared" si="7"/>
        <v>1</v>
      </c>
      <c r="P475" t="str" cm="1">
        <f t="array" ref="P475">_xlfn.IFS(D475&lt;=40000,"1. Up to 40K",D475&lt;=60000,"2. 40-60K",D475&lt;=80000,"3. 60-80K",TRUE,"4. Over 80K")</f>
        <v>1. Up to 40K</v>
      </c>
    </row>
    <row r="476" spans="1:16"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c r="O476">
        <f t="shared" si="7"/>
        <v>1</v>
      </c>
      <c r="P476" t="str" cm="1">
        <f t="array" ref="P476">_xlfn.IFS(D476&lt;=40000,"1. Up to 40K",D476&lt;=60000,"2. 40-60K",D476&lt;=80000,"3. 60-80K",TRUE,"4. Over 80K")</f>
        <v>4. Over 80K</v>
      </c>
    </row>
    <row r="477" spans="1:16"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c r="O477">
        <f t="shared" si="7"/>
        <v>0</v>
      </c>
      <c r="P477" t="str" cm="1">
        <f t="array" ref="P477">_xlfn.IFS(D477&lt;=40000,"1. Up to 40K",D477&lt;=60000,"2. 40-60K",D477&lt;=80000,"3. 60-80K",TRUE,"4. Over 80K")</f>
        <v>1. Up to 40K</v>
      </c>
    </row>
    <row r="478" spans="1:16"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c r="O478">
        <f t="shared" si="7"/>
        <v>1</v>
      </c>
      <c r="P478" t="str" cm="1">
        <f t="array" ref="P478">_xlfn.IFS(D478&lt;=40000,"1. Up to 40K",D478&lt;=60000,"2. 40-60K",D478&lt;=80000,"3. 60-80K",TRUE,"4. Over 80K")</f>
        <v>3. 60-80K</v>
      </c>
    </row>
    <row r="479" spans="1:16"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c r="O479">
        <f t="shared" si="7"/>
        <v>1</v>
      </c>
      <c r="P479" t="str" cm="1">
        <f t="array" ref="P479">_xlfn.IFS(D479&lt;=40000,"1. Up to 40K",D479&lt;=60000,"2. 40-60K",D479&lt;=80000,"3. 60-80K",TRUE,"4. Over 80K")</f>
        <v>3. 60-80K</v>
      </c>
    </row>
    <row r="480" spans="1:16"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c r="O480">
        <f t="shared" si="7"/>
        <v>1</v>
      </c>
      <c r="P480" t="str" cm="1">
        <f t="array" ref="P480">_xlfn.IFS(D480&lt;=40000,"1. Up to 40K",D480&lt;=60000,"2. 40-60K",D480&lt;=80000,"3. 60-80K",TRUE,"4. Over 80K")</f>
        <v>1. Up to 40K</v>
      </c>
    </row>
    <row r="481" spans="1:16"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c r="O481">
        <f t="shared" si="7"/>
        <v>1</v>
      </c>
      <c r="P481" t="str" cm="1">
        <f t="array" ref="P481">_xlfn.IFS(D481&lt;=40000,"1. Up to 40K",D481&lt;=60000,"2. 40-60K",D481&lt;=80000,"3. 60-80K",TRUE,"4. Over 80K")</f>
        <v>1. Up to 40K</v>
      </c>
    </row>
    <row r="482" spans="1:16"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c r="O482">
        <f t="shared" si="7"/>
        <v>0</v>
      </c>
      <c r="P482" t="str" cm="1">
        <f t="array" ref="P482">_xlfn.IFS(D482&lt;=40000,"1. Up to 40K",D482&lt;=60000,"2. 40-60K",D482&lt;=80000,"3. 60-80K",TRUE,"4. Over 80K")</f>
        <v>4. Over 80K</v>
      </c>
    </row>
    <row r="483" spans="1:16"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c r="O483">
        <f t="shared" si="7"/>
        <v>1</v>
      </c>
      <c r="P483" t="str" cm="1">
        <f t="array" ref="P483">_xlfn.IFS(D483&lt;=40000,"1. Up to 40K",D483&lt;=60000,"2. 40-60K",D483&lt;=80000,"3. 60-80K",TRUE,"4. Over 80K")</f>
        <v>1. Up to 40K</v>
      </c>
    </row>
    <row r="484" spans="1:16"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c r="O484">
        <f t="shared" si="7"/>
        <v>1</v>
      </c>
      <c r="P484" t="str" cm="1">
        <f t="array" ref="P484">_xlfn.IFS(D484&lt;=40000,"1. Up to 40K",D484&lt;=60000,"2. 40-60K",D484&lt;=80000,"3. 60-80K",TRUE,"4. Over 80K")</f>
        <v>1. Up to 40K</v>
      </c>
    </row>
    <row r="485" spans="1:16"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c r="O485">
        <f t="shared" si="7"/>
        <v>0</v>
      </c>
      <c r="P485" t="str" cm="1">
        <f t="array" ref="P485">_xlfn.IFS(D485&lt;=40000,"1. Up to 40K",D485&lt;=60000,"2. 40-60K",D485&lt;=80000,"3. 60-80K",TRUE,"4. Over 80K")</f>
        <v>1. Up to 40K</v>
      </c>
    </row>
    <row r="486" spans="1:16"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c r="O486">
        <f t="shared" si="7"/>
        <v>1</v>
      </c>
      <c r="P486" t="str" cm="1">
        <f t="array" ref="P486">_xlfn.IFS(D486&lt;=40000,"1. Up to 40K",D486&lt;=60000,"2. 40-60K",D486&lt;=80000,"3. 60-80K",TRUE,"4. Over 80K")</f>
        <v>1. Up to 40K</v>
      </c>
    </row>
    <row r="487" spans="1:16"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c r="O487">
        <f t="shared" si="7"/>
        <v>0</v>
      </c>
      <c r="P487" t="str" cm="1">
        <f t="array" ref="P487">_xlfn.IFS(D487&lt;=40000,"1. Up to 40K",D487&lt;=60000,"2. 40-60K",D487&lt;=80000,"3. 60-80K",TRUE,"4. Over 80K")</f>
        <v>1. Up to 40K</v>
      </c>
    </row>
    <row r="488" spans="1:16" x14ac:dyDescent="0.25">
      <c r="A488">
        <v>26415</v>
      </c>
      <c r="B488" t="s">
        <v>50</v>
      </c>
      <c r="C488" t="s">
        <v>52</v>
      </c>
      <c r="D488" s="1">
        <v>90000</v>
      </c>
      <c r="E488">
        <v>4</v>
      </c>
      <c r="F488" t="s">
        <v>29</v>
      </c>
      <c r="G488" t="s">
        <v>14</v>
      </c>
      <c r="H488" t="s">
        <v>15</v>
      </c>
      <c r="I488">
        <v>4</v>
      </c>
      <c r="J488" t="s">
        <v>72</v>
      </c>
      <c r="K488" t="s">
        <v>17</v>
      </c>
      <c r="L488">
        <v>58</v>
      </c>
      <c r="M488" t="str" cm="1">
        <f t="array" ref="M488">_xlfn.IFS(L488&lt;31, "Young Adult", L488&lt;=55, "Middle Age", L488&gt;55, "Old")</f>
        <v>Old</v>
      </c>
      <c r="N488" t="s">
        <v>18</v>
      </c>
      <c r="O488">
        <f t="shared" si="7"/>
        <v>0</v>
      </c>
      <c r="P488" t="str" cm="1">
        <f t="array" ref="P488">_xlfn.IFS(D488&lt;=40000,"1. Up to 40K",D488&lt;=60000,"2. 40-60K",D488&lt;=80000,"3. 60-80K",TRUE,"4. Over 80K")</f>
        <v>4. Over 80K</v>
      </c>
    </row>
    <row r="489" spans="1:16"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c r="O489">
        <f t="shared" si="7"/>
        <v>0</v>
      </c>
      <c r="P489" t="str" cm="1">
        <f t="array" ref="P489">_xlfn.IFS(D489&lt;=40000,"1. Up to 40K",D489&lt;=60000,"2. 40-60K",D489&lt;=80000,"3. 60-80K",TRUE,"4. Over 80K")</f>
        <v>1. Up to 40K</v>
      </c>
    </row>
    <row r="490" spans="1:16"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c r="O490">
        <f t="shared" si="7"/>
        <v>0</v>
      </c>
      <c r="P490" t="str" cm="1">
        <f t="array" ref="P490">_xlfn.IFS(D490&lt;=40000,"1. Up to 40K",D490&lt;=60000,"2. 40-60K",D490&lt;=80000,"3. 60-80K",TRUE,"4. Over 80K")</f>
        <v>1. Up to 40K</v>
      </c>
    </row>
    <row r="491" spans="1:16"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c r="O491">
        <f t="shared" si="7"/>
        <v>0</v>
      </c>
      <c r="P491" t="str" cm="1">
        <f t="array" ref="P491">_xlfn.IFS(D491&lt;=40000,"1. Up to 40K",D491&lt;=60000,"2. 40-60K",D491&lt;=80000,"3. 60-80K",TRUE,"4. Over 80K")</f>
        <v>1. Up to 40K</v>
      </c>
    </row>
    <row r="492" spans="1:16"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c r="O492">
        <f t="shared" si="7"/>
        <v>0</v>
      </c>
      <c r="P492" t="str" cm="1">
        <f t="array" ref="P492">_xlfn.IFS(D492&lt;=40000,"1. Up to 40K",D492&lt;=60000,"2. 40-60K",D492&lt;=80000,"3. 60-80K",TRUE,"4. Over 80K")</f>
        <v>2. 40-60K</v>
      </c>
    </row>
    <row r="493" spans="1:16"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c r="O493">
        <f t="shared" si="7"/>
        <v>0</v>
      </c>
      <c r="P493" t="str" cm="1">
        <f t="array" ref="P493">_xlfn.IFS(D493&lt;=40000,"1. Up to 40K",D493&lt;=60000,"2. 40-60K",D493&lt;=80000,"3. 60-80K",TRUE,"4. Over 80K")</f>
        <v>3. 60-80K</v>
      </c>
    </row>
    <row r="494" spans="1:16"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c r="O494">
        <f t="shared" si="7"/>
        <v>1</v>
      </c>
      <c r="P494" t="str" cm="1">
        <f t="array" ref="P494">_xlfn.IFS(D494&lt;=40000,"1. Up to 40K",D494&lt;=60000,"2. 40-60K",D494&lt;=80000,"3. 60-80K",TRUE,"4. Over 80K")</f>
        <v>1. Up to 40K</v>
      </c>
    </row>
    <row r="495" spans="1:16" x14ac:dyDescent="0.25">
      <c r="A495">
        <v>23707</v>
      </c>
      <c r="B495" t="s">
        <v>51</v>
      </c>
      <c r="C495" t="s">
        <v>53</v>
      </c>
      <c r="D495" s="1">
        <v>70000</v>
      </c>
      <c r="E495">
        <v>5</v>
      </c>
      <c r="F495" t="s">
        <v>13</v>
      </c>
      <c r="G495" t="s">
        <v>28</v>
      </c>
      <c r="H495" t="s">
        <v>15</v>
      </c>
      <c r="I495">
        <v>3</v>
      </c>
      <c r="J495" t="s">
        <v>72</v>
      </c>
      <c r="K495" t="s">
        <v>32</v>
      </c>
      <c r="L495">
        <v>60</v>
      </c>
      <c r="M495" t="str" cm="1">
        <f t="array" ref="M495">_xlfn.IFS(L495&lt;31, "Young Adult", L495&lt;=55, "Middle Age", L495&gt;55, "Old")</f>
        <v>Old</v>
      </c>
      <c r="N495" t="s">
        <v>15</v>
      </c>
      <c r="O495">
        <f t="shared" si="7"/>
        <v>1</v>
      </c>
      <c r="P495" t="str" cm="1">
        <f t="array" ref="P495">_xlfn.IFS(D495&lt;=40000,"1. Up to 40K",D495&lt;=60000,"2. 40-60K",D495&lt;=80000,"3. 60-80K",TRUE,"4. Over 80K")</f>
        <v>3. 60-80K</v>
      </c>
    </row>
    <row r="496" spans="1:16"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c r="O496">
        <f t="shared" si="7"/>
        <v>0</v>
      </c>
      <c r="P496" t="str" cm="1">
        <f t="array" ref="P496">_xlfn.IFS(D496&lt;=40000,"1. Up to 40K",D496&lt;=60000,"2. 40-60K",D496&lt;=80000,"3. 60-80K",TRUE,"4. Over 80K")</f>
        <v>3. 60-80K</v>
      </c>
    </row>
    <row r="497" spans="1:16" x14ac:dyDescent="0.25">
      <c r="A497">
        <v>24981</v>
      </c>
      <c r="B497" t="s">
        <v>50</v>
      </c>
      <c r="C497" t="s">
        <v>53</v>
      </c>
      <c r="D497" s="1">
        <v>60000</v>
      </c>
      <c r="E497">
        <v>2</v>
      </c>
      <c r="F497" t="s">
        <v>19</v>
      </c>
      <c r="G497" t="s">
        <v>21</v>
      </c>
      <c r="H497" t="s">
        <v>15</v>
      </c>
      <c r="I497">
        <v>2</v>
      </c>
      <c r="J497" t="s">
        <v>72</v>
      </c>
      <c r="K497" t="s">
        <v>32</v>
      </c>
      <c r="L497">
        <v>56</v>
      </c>
      <c r="M497" t="str" cm="1">
        <f t="array" ref="M497">_xlfn.IFS(L497&lt;31, "Young Adult", L497&lt;=55, "Middle Age", L497&gt;55, "Old")</f>
        <v>Old</v>
      </c>
      <c r="N497" t="s">
        <v>18</v>
      </c>
      <c r="O497">
        <f t="shared" si="7"/>
        <v>0</v>
      </c>
      <c r="P497" t="str" cm="1">
        <f t="array" ref="P497">_xlfn.IFS(D497&lt;=40000,"1. Up to 40K",D497&lt;=60000,"2. 40-60K",D497&lt;=80000,"3. 60-80K",TRUE,"4. Over 80K")</f>
        <v>2. 40-60K</v>
      </c>
    </row>
    <row r="498" spans="1:16"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c r="O498">
        <f t="shared" si="7"/>
        <v>1</v>
      </c>
      <c r="P498" t="str" cm="1">
        <f t="array" ref="P498">_xlfn.IFS(D498&lt;=40000,"1. Up to 40K",D498&lt;=60000,"2. 40-60K",D498&lt;=80000,"3. 60-80K",TRUE,"4. Over 80K")</f>
        <v>2. 40-60K</v>
      </c>
    </row>
    <row r="499" spans="1:16"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c r="O499">
        <f t="shared" si="7"/>
        <v>1</v>
      </c>
      <c r="P499" t="str" cm="1">
        <f t="array" ref="P499">_xlfn.IFS(D499&lt;=40000,"1. Up to 40K",D499&lt;=60000,"2. 40-60K",D499&lt;=80000,"3. 60-80K",TRUE,"4. Over 80K")</f>
        <v>3. 60-80K</v>
      </c>
    </row>
    <row r="500" spans="1:16"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c r="O500">
        <f t="shared" si="7"/>
        <v>1</v>
      </c>
      <c r="P500" t="str" cm="1">
        <f t="array" ref="P500">_xlfn.IFS(D500&lt;=40000,"1. Up to 40K",D500&lt;=60000,"2. 40-60K",D500&lt;=80000,"3. 60-80K",TRUE,"4. Over 80K")</f>
        <v>3. 60-80K</v>
      </c>
    </row>
    <row r="501" spans="1:16"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c r="O501">
        <f t="shared" si="7"/>
        <v>1</v>
      </c>
      <c r="P501" t="str" cm="1">
        <f t="array" ref="P501">_xlfn.IFS(D501&lt;=40000,"1. Up to 40K",D501&lt;=60000,"2. 40-60K",D501&lt;=80000,"3. 60-80K",TRUE,"4. Over 80K")</f>
        <v>1. Up to 40K</v>
      </c>
    </row>
    <row r="502" spans="1:16"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c r="O502">
        <f t="shared" si="7"/>
        <v>0</v>
      </c>
      <c r="P502" t="str" cm="1">
        <f t="array" ref="P502">_xlfn.IFS(D502&lt;=40000,"1. Up to 40K",D502&lt;=60000,"2. 40-60K",D502&lt;=80000,"3. 60-80K",TRUE,"4. Over 80K")</f>
        <v>2. 40-60K</v>
      </c>
    </row>
    <row r="503" spans="1:16"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c r="O503">
        <f t="shared" si="7"/>
        <v>0</v>
      </c>
      <c r="P503" t="str" cm="1">
        <f t="array" ref="P503">_xlfn.IFS(D503&lt;=40000,"1. Up to 40K",D503&lt;=60000,"2. 40-60K",D503&lt;=80000,"3. 60-80K",TRUE,"4. Over 80K")</f>
        <v>2. 40-60K</v>
      </c>
    </row>
    <row r="504" spans="1:16"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c r="O504">
        <f t="shared" si="7"/>
        <v>0</v>
      </c>
      <c r="P504" t="str" cm="1">
        <f t="array" ref="P504">_xlfn.IFS(D504&lt;=40000,"1. Up to 40K",D504&lt;=60000,"2. 40-60K",D504&lt;=80000,"3. 60-80K",TRUE,"4. Over 80K")</f>
        <v>1. Up to 40K</v>
      </c>
    </row>
    <row r="505" spans="1:16"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c r="O505">
        <f t="shared" si="7"/>
        <v>1</v>
      </c>
      <c r="P505" t="str" cm="1">
        <f t="array" ref="P505">_xlfn.IFS(D505&lt;=40000,"1. Up to 40K",D505&lt;=60000,"2. 40-60K",D505&lt;=80000,"3. 60-80K",TRUE,"4. Over 80K")</f>
        <v>4. Over 80K</v>
      </c>
    </row>
    <row r="506" spans="1:16"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c r="O506">
        <f t="shared" si="7"/>
        <v>1</v>
      </c>
      <c r="P506" t="str" cm="1">
        <f t="array" ref="P506">_xlfn.IFS(D506&lt;=40000,"1. Up to 40K",D506&lt;=60000,"2. 40-60K",D506&lt;=80000,"3. 60-80K",TRUE,"4. Over 80K")</f>
        <v>3. 60-80K</v>
      </c>
    </row>
    <row r="507" spans="1:16"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c r="O507">
        <f t="shared" si="7"/>
        <v>0</v>
      </c>
      <c r="P507" t="str" cm="1">
        <f t="array" ref="P507">_xlfn.IFS(D507&lt;=40000,"1. Up to 40K",D507&lt;=60000,"2. 40-60K",D507&lt;=80000,"3. 60-80K",TRUE,"4. Over 80K")</f>
        <v>4. Over 80K</v>
      </c>
    </row>
    <row r="508" spans="1:16"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c r="O508">
        <f t="shared" si="7"/>
        <v>1</v>
      </c>
      <c r="P508" t="str" cm="1">
        <f t="array" ref="P508">_xlfn.IFS(D508&lt;=40000,"1. Up to 40K",D508&lt;=60000,"2. 40-60K",D508&lt;=80000,"3. 60-80K",TRUE,"4. Over 80K")</f>
        <v>3. 60-80K</v>
      </c>
    </row>
    <row r="509" spans="1:16"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c r="O509">
        <f t="shared" si="7"/>
        <v>1</v>
      </c>
      <c r="P509" t="str" cm="1">
        <f t="array" ref="P509">_xlfn.IFS(D509&lt;=40000,"1. Up to 40K",D509&lt;=60000,"2. 40-60K",D509&lt;=80000,"3. 60-80K",TRUE,"4. Over 80K")</f>
        <v>1. Up to 40K</v>
      </c>
    </row>
    <row r="510" spans="1:16"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c r="O510">
        <f t="shared" si="7"/>
        <v>0</v>
      </c>
      <c r="P510" t="str" cm="1">
        <f t="array" ref="P510">_xlfn.IFS(D510&lt;=40000,"1. Up to 40K",D510&lt;=60000,"2. 40-60K",D510&lt;=80000,"3. 60-80K",TRUE,"4. Over 80K")</f>
        <v>2. 40-60K</v>
      </c>
    </row>
    <row r="511" spans="1:16"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c r="O511">
        <f t="shared" si="7"/>
        <v>1</v>
      </c>
      <c r="P511" t="str" cm="1">
        <f t="array" ref="P511">_xlfn.IFS(D511&lt;=40000,"1. Up to 40K",D511&lt;=60000,"2. 40-60K",D511&lt;=80000,"3. 60-80K",TRUE,"4. Over 80K")</f>
        <v>3. 60-80K</v>
      </c>
    </row>
    <row r="512" spans="1:16"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c r="O512">
        <f t="shared" si="7"/>
        <v>1</v>
      </c>
      <c r="P512" t="str" cm="1">
        <f t="array" ref="P512">_xlfn.IFS(D512&lt;=40000,"1. Up to 40K",D512&lt;=60000,"2. 40-60K",D512&lt;=80000,"3. 60-80K",TRUE,"4. Over 80K")</f>
        <v>3. 60-80K</v>
      </c>
    </row>
    <row r="513" spans="1:16"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c r="O513">
        <f t="shared" si="7"/>
        <v>1</v>
      </c>
      <c r="P513" t="str" cm="1">
        <f t="array" ref="P513">_xlfn.IFS(D513&lt;=40000,"1. Up to 40K",D513&lt;=60000,"2. 40-60K",D513&lt;=80000,"3. 60-80K",TRUE,"4. Over 80K")</f>
        <v>3. 60-80K</v>
      </c>
    </row>
    <row r="514" spans="1:16"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c r="O514">
        <f t="shared" si="7"/>
        <v>1</v>
      </c>
      <c r="P514" t="str" cm="1">
        <f t="array" ref="P514">_xlfn.IFS(D514&lt;=40000,"1. Up to 40K",D514&lt;=60000,"2. 40-60K",D514&lt;=80000,"3. 60-80K",TRUE,"4. Over 80K")</f>
        <v>2. 40-60K</v>
      </c>
    </row>
    <row r="515" spans="1:16" x14ac:dyDescent="0.25">
      <c r="A515">
        <v>13353</v>
      </c>
      <c r="B515" t="s">
        <v>51</v>
      </c>
      <c r="C515" t="s">
        <v>52</v>
      </c>
      <c r="D515" s="1">
        <v>60000</v>
      </c>
      <c r="E515">
        <v>4</v>
      </c>
      <c r="F515" t="s">
        <v>31</v>
      </c>
      <c r="G515" t="s">
        <v>28</v>
      </c>
      <c r="H515" t="s">
        <v>15</v>
      </c>
      <c r="I515">
        <v>2</v>
      </c>
      <c r="J515" t="s">
        <v>72</v>
      </c>
      <c r="K515" t="s">
        <v>32</v>
      </c>
      <c r="L515">
        <v>61</v>
      </c>
      <c r="M515" t="str" cm="1">
        <f t="array" ref="M515">_xlfn.IFS(L515&lt;31, "Young Adult", L515&lt;=55, "Middle Age", L515&gt;55, "Old")</f>
        <v>Old</v>
      </c>
      <c r="N515" t="s">
        <v>15</v>
      </c>
      <c r="O515">
        <f t="shared" ref="O515:O578" si="8">IF(N515="Yes",1,0)</f>
        <v>1</v>
      </c>
      <c r="P515" t="str" cm="1">
        <f t="array" ref="P515">_xlfn.IFS(D515&lt;=40000,"1. Up to 40K",D515&lt;=60000,"2. 40-60K",D515&lt;=80000,"3. 60-80K",TRUE,"4. Over 80K")</f>
        <v>2. 40-60K</v>
      </c>
    </row>
    <row r="516" spans="1:16"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c r="O516">
        <f t="shared" si="8"/>
        <v>0</v>
      </c>
      <c r="P516" t="str" cm="1">
        <f t="array" ref="P516">_xlfn.IFS(D516&lt;=40000,"1. Up to 40K",D516&lt;=60000,"2. 40-60K",D516&lt;=80000,"3. 60-80K",TRUE,"4. Over 80K")</f>
        <v>1. Up to 40K</v>
      </c>
    </row>
    <row r="517" spans="1:16"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c r="O517">
        <f t="shared" si="8"/>
        <v>0</v>
      </c>
      <c r="P517" t="str" cm="1">
        <f t="array" ref="P517">_xlfn.IFS(D517&lt;=40000,"1. Up to 40K",D517&lt;=60000,"2. 40-60K",D517&lt;=80000,"3. 60-80K",TRUE,"4. Over 80K")</f>
        <v>3. 60-80K</v>
      </c>
    </row>
    <row r="518" spans="1:16"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c r="O518">
        <f t="shared" si="8"/>
        <v>0</v>
      </c>
      <c r="P518" t="str" cm="1">
        <f t="array" ref="P518">_xlfn.IFS(D518&lt;=40000,"1. Up to 40K",D518&lt;=60000,"2. 40-60K",D518&lt;=80000,"3. 60-80K",TRUE,"4. Over 80K")</f>
        <v>2. 40-60K</v>
      </c>
    </row>
    <row r="519" spans="1:16"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c r="O519">
        <f t="shared" si="8"/>
        <v>1</v>
      </c>
      <c r="P519" t="str" cm="1">
        <f t="array" ref="P519">_xlfn.IFS(D519&lt;=40000,"1. Up to 40K",D519&lt;=60000,"2. 40-60K",D519&lt;=80000,"3. 60-80K",TRUE,"4. Over 80K")</f>
        <v>2. 40-60K</v>
      </c>
    </row>
    <row r="520" spans="1:16"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c r="O520">
        <f t="shared" si="8"/>
        <v>1</v>
      </c>
      <c r="P520" t="str" cm="1">
        <f t="array" ref="P520">_xlfn.IFS(D520&lt;=40000,"1. Up to 40K",D520&lt;=60000,"2. 40-60K",D520&lt;=80000,"3. 60-80K",TRUE,"4. Over 80K")</f>
        <v>3. 60-80K</v>
      </c>
    </row>
    <row r="521" spans="1:16"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c r="O521">
        <f t="shared" si="8"/>
        <v>0</v>
      </c>
      <c r="P521" t="str" cm="1">
        <f t="array" ref="P521">_xlfn.IFS(D521&lt;=40000,"1. Up to 40K",D521&lt;=60000,"2. 40-60K",D521&lt;=80000,"3. 60-80K",TRUE,"4. Over 80K")</f>
        <v>3. 60-80K</v>
      </c>
    </row>
    <row r="522" spans="1:16"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c r="O522">
        <f t="shared" si="8"/>
        <v>0</v>
      </c>
      <c r="P522" t="str" cm="1">
        <f t="array" ref="P522">_xlfn.IFS(D522&lt;=40000,"1. Up to 40K",D522&lt;=60000,"2. 40-60K",D522&lt;=80000,"3. 60-80K",TRUE,"4. Over 80K")</f>
        <v>4. Over 80K</v>
      </c>
    </row>
    <row r="523" spans="1:16" x14ac:dyDescent="0.25">
      <c r="A523">
        <v>18976</v>
      </c>
      <c r="B523" t="s">
        <v>51</v>
      </c>
      <c r="C523" t="s">
        <v>53</v>
      </c>
      <c r="D523" s="1">
        <v>40000</v>
      </c>
      <c r="E523">
        <v>4</v>
      </c>
      <c r="F523" t="s">
        <v>27</v>
      </c>
      <c r="G523" t="s">
        <v>21</v>
      </c>
      <c r="H523" t="s">
        <v>15</v>
      </c>
      <c r="I523">
        <v>2</v>
      </c>
      <c r="J523" t="s">
        <v>72</v>
      </c>
      <c r="K523" t="s">
        <v>32</v>
      </c>
      <c r="L523">
        <v>62</v>
      </c>
      <c r="M523" t="str" cm="1">
        <f t="array" ref="M523">_xlfn.IFS(L523&lt;31, "Young Adult", L523&lt;=55, "Middle Age", L523&gt;55, "Old")</f>
        <v>Old</v>
      </c>
      <c r="N523" t="s">
        <v>15</v>
      </c>
      <c r="O523">
        <f t="shared" si="8"/>
        <v>1</v>
      </c>
      <c r="P523" t="str" cm="1">
        <f t="array" ref="P523">_xlfn.IFS(D523&lt;=40000,"1. Up to 40K",D523&lt;=60000,"2. 40-60K",D523&lt;=80000,"3. 60-80K",TRUE,"4. Over 80K")</f>
        <v>1. Up to 40K</v>
      </c>
    </row>
    <row r="524" spans="1:16"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c r="O524">
        <f t="shared" si="8"/>
        <v>1</v>
      </c>
      <c r="P524" t="str" cm="1">
        <f t="array" ref="P524">_xlfn.IFS(D524&lt;=40000,"1. Up to 40K",D524&lt;=60000,"2. 40-60K",D524&lt;=80000,"3. 60-80K",TRUE,"4. Over 80K")</f>
        <v>2. 40-60K</v>
      </c>
    </row>
    <row r="525" spans="1:16"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c r="O525">
        <f t="shared" si="8"/>
        <v>1</v>
      </c>
      <c r="P525" t="str" cm="1">
        <f t="array" ref="P525">_xlfn.IFS(D525&lt;=40000,"1. Up to 40K",D525&lt;=60000,"2. 40-60K",D525&lt;=80000,"3. 60-80K",TRUE,"4. Over 80K")</f>
        <v>3. 60-80K</v>
      </c>
    </row>
    <row r="526" spans="1:16"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c r="O526">
        <f t="shared" si="8"/>
        <v>0</v>
      </c>
      <c r="P526" t="str" cm="1">
        <f t="array" ref="P526">_xlfn.IFS(D526&lt;=40000,"1. Up to 40K",D526&lt;=60000,"2. 40-60K",D526&lt;=80000,"3. 60-80K",TRUE,"4. Over 80K")</f>
        <v>3. 60-80K</v>
      </c>
    </row>
    <row r="527" spans="1:16" x14ac:dyDescent="0.25">
      <c r="A527">
        <v>16791</v>
      </c>
      <c r="B527" t="s">
        <v>51</v>
      </c>
      <c r="C527" t="s">
        <v>53</v>
      </c>
      <c r="D527" s="1">
        <v>60000</v>
      </c>
      <c r="E527">
        <v>5</v>
      </c>
      <c r="F527" t="s">
        <v>13</v>
      </c>
      <c r="G527" t="s">
        <v>28</v>
      </c>
      <c r="H527" t="s">
        <v>15</v>
      </c>
      <c r="I527">
        <v>3</v>
      </c>
      <c r="J527" t="s">
        <v>72</v>
      </c>
      <c r="K527" t="s">
        <v>32</v>
      </c>
      <c r="L527">
        <v>59</v>
      </c>
      <c r="M527" t="str" cm="1">
        <f t="array" ref="M527">_xlfn.IFS(L527&lt;31, "Young Adult", L527&lt;=55, "Middle Age", L527&gt;55, "Old")</f>
        <v>Old</v>
      </c>
      <c r="N527" t="s">
        <v>15</v>
      </c>
      <c r="O527">
        <f t="shared" si="8"/>
        <v>1</v>
      </c>
      <c r="P527" t="str" cm="1">
        <f t="array" ref="P527">_xlfn.IFS(D527&lt;=40000,"1. Up to 40K",D527&lt;=60000,"2. 40-60K",D527&lt;=80000,"3. 60-80K",TRUE,"4. Over 80K")</f>
        <v>2. 40-60K</v>
      </c>
    </row>
    <row r="528" spans="1:16"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c r="O528">
        <f t="shared" si="8"/>
        <v>0</v>
      </c>
      <c r="P528" t="str" cm="1">
        <f t="array" ref="P528">_xlfn.IFS(D528&lt;=40000,"1. Up to 40K",D528&lt;=60000,"2. 40-60K",D528&lt;=80000,"3. 60-80K",TRUE,"4. Over 80K")</f>
        <v>4. Over 80K</v>
      </c>
    </row>
    <row r="529" spans="1:16"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c r="O529">
        <f t="shared" si="8"/>
        <v>0</v>
      </c>
      <c r="P529" t="str" cm="1">
        <f t="array" ref="P529">_xlfn.IFS(D529&lt;=40000,"1. Up to 40K",D529&lt;=60000,"2. 40-60K",D529&lt;=80000,"3. 60-80K",TRUE,"4. Over 80K")</f>
        <v>2. 40-60K</v>
      </c>
    </row>
    <row r="530" spans="1:16"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c r="O530">
        <f t="shared" si="8"/>
        <v>0</v>
      </c>
      <c r="P530" t="str" cm="1">
        <f t="array" ref="P530">_xlfn.IFS(D530&lt;=40000,"1. Up to 40K",D530&lt;=60000,"2. 40-60K",D530&lt;=80000,"3. 60-80K",TRUE,"4. Over 80K")</f>
        <v>1. Up to 40K</v>
      </c>
    </row>
    <row r="531" spans="1:16" x14ac:dyDescent="0.25">
      <c r="A531">
        <v>13233</v>
      </c>
      <c r="B531" t="s">
        <v>50</v>
      </c>
      <c r="C531" t="s">
        <v>53</v>
      </c>
      <c r="D531" s="1">
        <v>60000</v>
      </c>
      <c r="E531">
        <v>2</v>
      </c>
      <c r="F531" t="s">
        <v>19</v>
      </c>
      <c r="G531" t="s">
        <v>21</v>
      </c>
      <c r="H531" t="s">
        <v>15</v>
      </c>
      <c r="I531">
        <v>1</v>
      </c>
      <c r="J531" t="s">
        <v>72</v>
      </c>
      <c r="K531" t="s">
        <v>32</v>
      </c>
      <c r="L531">
        <v>57</v>
      </c>
      <c r="M531" t="str" cm="1">
        <f t="array" ref="M531">_xlfn.IFS(L531&lt;31, "Young Adult", L531&lt;=55, "Middle Age", L531&gt;55, "Old")</f>
        <v>Old</v>
      </c>
      <c r="N531" t="s">
        <v>15</v>
      </c>
      <c r="O531">
        <f t="shared" si="8"/>
        <v>1</v>
      </c>
      <c r="P531" t="str" cm="1">
        <f t="array" ref="P531">_xlfn.IFS(D531&lt;=40000,"1. Up to 40K",D531&lt;=60000,"2. 40-60K",D531&lt;=80000,"3. 60-80K",TRUE,"4. Over 80K")</f>
        <v>2. 40-60K</v>
      </c>
    </row>
    <row r="532" spans="1:16"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c r="O532">
        <f t="shared" si="8"/>
        <v>1</v>
      </c>
      <c r="P532" t="str" cm="1">
        <f t="array" ref="P532">_xlfn.IFS(D532&lt;=40000,"1. Up to 40K",D532&lt;=60000,"2. 40-60K",D532&lt;=80000,"3. 60-80K",TRUE,"4. Over 80K")</f>
        <v>2. 40-60K</v>
      </c>
    </row>
    <row r="533" spans="1:16"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c r="O533">
        <f t="shared" si="8"/>
        <v>0</v>
      </c>
      <c r="P533" t="str" cm="1">
        <f t="array" ref="P533">_xlfn.IFS(D533&lt;=40000,"1. Up to 40K",D533&lt;=60000,"2. 40-60K",D533&lt;=80000,"3. 60-80K",TRUE,"4. Over 80K")</f>
        <v>1. Up to 40K</v>
      </c>
    </row>
    <row r="534" spans="1:16"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c r="O534">
        <f t="shared" si="8"/>
        <v>1</v>
      </c>
      <c r="P534" t="str" cm="1">
        <f t="array" ref="P534">_xlfn.IFS(D534&lt;=40000,"1. Up to 40K",D534&lt;=60000,"2. 40-60K",D534&lt;=80000,"3. 60-80K",TRUE,"4. Over 80K")</f>
        <v>2. 40-60K</v>
      </c>
    </row>
    <row r="535" spans="1:16" x14ac:dyDescent="0.25">
      <c r="A535">
        <v>24941</v>
      </c>
      <c r="B535" t="s">
        <v>50</v>
      </c>
      <c r="C535" t="s">
        <v>53</v>
      </c>
      <c r="D535" s="1">
        <v>60000</v>
      </c>
      <c r="E535">
        <v>3</v>
      </c>
      <c r="F535" t="s">
        <v>13</v>
      </c>
      <c r="G535" t="s">
        <v>28</v>
      </c>
      <c r="H535" t="s">
        <v>15</v>
      </c>
      <c r="I535">
        <v>2</v>
      </c>
      <c r="J535" t="s">
        <v>72</v>
      </c>
      <c r="K535" t="s">
        <v>32</v>
      </c>
      <c r="L535">
        <v>66</v>
      </c>
      <c r="M535" t="str" cm="1">
        <f t="array" ref="M535">_xlfn.IFS(L535&lt;31, "Young Adult", L535&lt;=55, "Middle Age", L535&gt;55, "Old")</f>
        <v>Old</v>
      </c>
      <c r="N535" t="s">
        <v>18</v>
      </c>
      <c r="O535">
        <f t="shared" si="8"/>
        <v>0</v>
      </c>
      <c r="P535" t="str" cm="1">
        <f t="array" ref="P535">_xlfn.IFS(D535&lt;=40000,"1. Up to 40K",D535&lt;=60000,"2. 40-60K",D535&lt;=80000,"3. 60-80K",TRUE,"4. Over 80K")</f>
        <v>2. 40-60K</v>
      </c>
    </row>
    <row r="536" spans="1:16" x14ac:dyDescent="0.25">
      <c r="A536">
        <v>24637</v>
      </c>
      <c r="B536" t="s">
        <v>50</v>
      </c>
      <c r="C536" t="s">
        <v>53</v>
      </c>
      <c r="D536" s="1">
        <v>40000</v>
      </c>
      <c r="E536">
        <v>4</v>
      </c>
      <c r="F536" t="s">
        <v>27</v>
      </c>
      <c r="G536" t="s">
        <v>21</v>
      </c>
      <c r="H536" t="s">
        <v>15</v>
      </c>
      <c r="I536">
        <v>2</v>
      </c>
      <c r="J536" t="s">
        <v>72</v>
      </c>
      <c r="K536" t="s">
        <v>32</v>
      </c>
      <c r="L536">
        <v>64</v>
      </c>
      <c r="M536" t="str" cm="1">
        <f t="array" ref="M536">_xlfn.IFS(L536&lt;31, "Young Adult", L536&lt;=55, "Middle Age", L536&gt;55, "Old")</f>
        <v>Old</v>
      </c>
      <c r="N536" t="s">
        <v>18</v>
      </c>
      <c r="O536">
        <f t="shared" si="8"/>
        <v>0</v>
      </c>
      <c r="P536" t="str" cm="1">
        <f t="array" ref="P536">_xlfn.IFS(D536&lt;=40000,"1. Up to 40K",D536&lt;=60000,"2. 40-60K",D536&lt;=80000,"3. 60-80K",TRUE,"4. Over 80K")</f>
        <v>1. Up to 40K</v>
      </c>
    </row>
    <row r="537" spans="1:16" x14ac:dyDescent="0.25">
      <c r="A537">
        <v>23893</v>
      </c>
      <c r="B537" t="s">
        <v>50</v>
      </c>
      <c r="C537" t="s">
        <v>53</v>
      </c>
      <c r="D537" s="1">
        <v>50000</v>
      </c>
      <c r="E537">
        <v>3</v>
      </c>
      <c r="F537" t="s">
        <v>13</v>
      </c>
      <c r="G537" t="s">
        <v>14</v>
      </c>
      <c r="H537" t="s">
        <v>15</v>
      </c>
      <c r="I537">
        <v>3</v>
      </c>
      <c r="J537" t="s">
        <v>72</v>
      </c>
      <c r="K537" t="s">
        <v>32</v>
      </c>
      <c r="L537">
        <v>41</v>
      </c>
      <c r="M537" t="str" cm="1">
        <f t="array" ref="M537">_xlfn.IFS(L537&lt;31, "Young Adult", L537&lt;=55, "Middle Age", L537&gt;55, "Old")</f>
        <v>Middle Age</v>
      </c>
      <c r="N537" t="s">
        <v>18</v>
      </c>
      <c r="O537">
        <f t="shared" si="8"/>
        <v>0</v>
      </c>
      <c r="P537" t="str" cm="1">
        <f t="array" ref="P537">_xlfn.IFS(D537&lt;=40000,"1. Up to 40K",D537&lt;=60000,"2. 40-60K",D537&lt;=80000,"3. 60-80K",TRUE,"4. Over 80K")</f>
        <v>2. 40-60K</v>
      </c>
    </row>
    <row r="538" spans="1:16"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c r="O538">
        <f t="shared" si="8"/>
        <v>1</v>
      </c>
      <c r="P538" t="str" cm="1">
        <f t="array" ref="P538">_xlfn.IFS(D538&lt;=40000,"1. Up to 40K",D538&lt;=60000,"2. 40-60K",D538&lt;=80000,"3. 60-80K",TRUE,"4. Over 80K")</f>
        <v>3. 60-80K</v>
      </c>
    </row>
    <row r="539" spans="1:16"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c r="O539">
        <f t="shared" si="8"/>
        <v>1</v>
      </c>
      <c r="P539" t="str" cm="1">
        <f t="array" ref="P539">_xlfn.IFS(D539&lt;=40000,"1. Up to 40K",D539&lt;=60000,"2. 40-60K",D539&lt;=80000,"3. 60-80K",TRUE,"4. Over 80K")</f>
        <v>1. Up to 40K</v>
      </c>
    </row>
    <row r="540" spans="1:16"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c r="O540">
        <f t="shared" si="8"/>
        <v>0</v>
      </c>
      <c r="P540" t="str" cm="1">
        <f t="array" ref="P540">_xlfn.IFS(D540&lt;=40000,"1. Up to 40K",D540&lt;=60000,"2. 40-60K",D540&lt;=80000,"3. 60-80K",TRUE,"4. Over 80K")</f>
        <v>3. 60-80K</v>
      </c>
    </row>
    <row r="541" spans="1:16"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c r="O541">
        <f t="shared" si="8"/>
        <v>1</v>
      </c>
      <c r="P541" t="str" cm="1">
        <f t="array" ref="P541">_xlfn.IFS(D541&lt;=40000,"1. Up to 40K",D541&lt;=60000,"2. 40-60K",D541&lt;=80000,"3. 60-80K",TRUE,"4. Over 80K")</f>
        <v>3. 60-80K</v>
      </c>
    </row>
    <row r="542" spans="1:16"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c r="O542">
        <f t="shared" si="8"/>
        <v>0</v>
      </c>
      <c r="P542" t="str" cm="1">
        <f t="array" ref="P542">_xlfn.IFS(D542&lt;=40000,"1. Up to 40K",D542&lt;=60000,"2. 40-60K",D542&lt;=80000,"3. 60-80K",TRUE,"4. Over 80K")</f>
        <v>3. 60-80K</v>
      </c>
    </row>
    <row r="543" spans="1:16"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c r="O543">
        <f t="shared" si="8"/>
        <v>0</v>
      </c>
      <c r="P543" t="str" cm="1">
        <f t="array" ref="P543">_xlfn.IFS(D543&lt;=40000,"1. Up to 40K",D543&lt;=60000,"2. 40-60K",D543&lt;=80000,"3. 60-80K",TRUE,"4. Over 80K")</f>
        <v>2. 40-60K</v>
      </c>
    </row>
    <row r="544" spans="1:16"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c r="O544">
        <f t="shared" si="8"/>
        <v>0</v>
      </c>
      <c r="P544" t="str" cm="1">
        <f t="array" ref="P544">_xlfn.IFS(D544&lt;=40000,"1. Up to 40K",D544&lt;=60000,"2. 40-60K",D544&lt;=80000,"3. 60-80K",TRUE,"4. Over 80K")</f>
        <v>1. Up to 40K</v>
      </c>
    </row>
    <row r="545" spans="1:16"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c r="O545">
        <f t="shared" si="8"/>
        <v>0</v>
      </c>
      <c r="P545" t="str" cm="1">
        <f t="array" ref="P545">_xlfn.IFS(D545&lt;=40000,"1. Up to 40K",D545&lt;=60000,"2. 40-60K",D545&lt;=80000,"3. 60-80K",TRUE,"4. Over 80K")</f>
        <v>3. 60-80K</v>
      </c>
    </row>
    <row r="546" spans="1:16"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c r="O546">
        <f t="shared" si="8"/>
        <v>0</v>
      </c>
      <c r="P546" t="str" cm="1">
        <f t="array" ref="P546">_xlfn.IFS(D546&lt;=40000,"1. Up to 40K",D546&lt;=60000,"2. 40-60K",D546&lt;=80000,"3. 60-80K",TRUE,"4. Over 80K")</f>
        <v>4. Over 80K</v>
      </c>
    </row>
    <row r="547" spans="1:16"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c r="O547">
        <f t="shared" si="8"/>
        <v>0</v>
      </c>
      <c r="P547" t="str" cm="1">
        <f t="array" ref="P547">_xlfn.IFS(D547&lt;=40000,"1. Up to 40K",D547&lt;=60000,"2. 40-60K",D547&lt;=80000,"3. 60-80K",TRUE,"4. Over 80K")</f>
        <v>2. 40-60K</v>
      </c>
    </row>
    <row r="548" spans="1:16"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c r="O548">
        <f t="shared" si="8"/>
        <v>1</v>
      </c>
      <c r="P548" t="str" cm="1">
        <f t="array" ref="P548">_xlfn.IFS(D548&lt;=40000,"1. Up to 40K",D548&lt;=60000,"2. 40-60K",D548&lt;=80000,"3. 60-80K",TRUE,"4. Over 80K")</f>
        <v>2. 40-60K</v>
      </c>
    </row>
    <row r="549" spans="1:16"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c r="O549">
        <f t="shared" si="8"/>
        <v>1</v>
      </c>
      <c r="P549" t="str" cm="1">
        <f t="array" ref="P549">_xlfn.IFS(D549&lt;=40000,"1. Up to 40K",D549&lt;=60000,"2. 40-60K",D549&lt;=80000,"3. 60-80K",TRUE,"4. Over 80K")</f>
        <v>2. 40-60K</v>
      </c>
    </row>
    <row r="550" spans="1:16"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c r="O550">
        <f t="shared" si="8"/>
        <v>0</v>
      </c>
      <c r="P550" t="str" cm="1">
        <f t="array" ref="P550">_xlfn.IFS(D550&lt;=40000,"1. Up to 40K",D550&lt;=60000,"2. 40-60K",D550&lt;=80000,"3. 60-80K",TRUE,"4. Over 80K")</f>
        <v>3. 60-80K</v>
      </c>
    </row>
    <row r="551" spans="1:16"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c r="O551">
        <f t="shared" si="8"/>
        <v>1</v>
      </c>
      <c r="P551" t="str" cm="1">
        <f t="array" ref="P551">_xlfn.IFS(D551&lt;=40000,"1. Up to 40K",D551&lt;=60000,"2. 40-60K",D551&lt;=80000,"3. 60-80K",TRUE,"4. Over 80K")</f>
        <v>4. Over 80K</v>
      </c>
    </row>
    <row r="552" spans="1:16"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c r="O552">
        <f t="shared" si="8"/>
        <v>1</v>
      </c>
      <c r="P552" t="str" cm="1">
        <f t="array" ref="P552">_xlfn.IFS(D552&lt;=40000,"1. Up to 40K",D552&lt;=60000,"2. 40-60K",D552&lt;=80000,"3. 60-80K",TRUE,"4. Over 80K")</f>
        <v>3. 60-80K</v>
      </c>
    </row>
    <row r="553" spans="1:16" x14ac:dyDescent="0.25">
      <c r="A553">
        <v>27393</v>
      </c>
      <c r="B553" t="s">
        <v>50</v>
      </c>
      <c r="C553" t="s">
        <v>52</v>
      </c>
      <c r="D553" s="1">
        <v>50000</v>
      </c>
      <c r="E553">
        <v>4</v>
      </c>
      <c r="F553" t="s">
        <v>13</v>
      </c>
      <c r="G553" t="s">
        <v>28</v>
      </c>
      <c r="H553" t="s">
        <v>15</v>
      </c>
      <c r="I553">
        <v>2</v>
      </c>
      <c r="J553" t="s">
        <v>72</v>
      </c>
      <c r="K553" t="s">
        <v>32</v>
      </c>
      <c r="L553">
        <v>63</v>
      </c>
      <c r="M553" t="str" cm="1">
        <f t="array" ref="M553">_xlfn.IFS(L553&lt;31, "Young Adult", L553&lt;=55, "Middle Age", L553&gt;55, "Old")</f>
        <v>Old</v>
      </c>
      <c r="N553" t="s">
        <v>18</v>
      </c>
      <c r="O553">
        <f t="shared" si="8"/>
        <v>0</v>
      </c>
      <c r="P553" t="str" cm="1">
        <f t="array" ref="P553">_xlfn.IFS(D553&lt;=40000,"1. Up to 40K",D553&lt;=60000,"2. 40-60K",D553&lt;=80000,"3. 60-80K",TRUE,"4. Over 80K")</f>
        <v>2. 40-60K</v>
      </c>
    </row>
    <row r="554" spans="1:16" x14ac:dyDescent="0.25">
      <c r="A554">
        <v>14417</v>
      </c>
      <c r="B554" t="s">
        <v>51</v>
      </c>
      <c r="C554" t="s">
        <v>53</v>
      </c>
      <c r="D554" s="1">
        <v>60000</v>
      </c>
      <c r="E554">
        <v>3</v>
      </c>
      <c r="F554" t="s">
        <v>27</v>
      </c>
      <c r="G554" t="s">
        <v>21</v>
      </c>
      <c r="H554" t="s">
        <v>15</v>
      </c>
      <c r="I554">
        <v>2</v>
      </c>
      <c r="J554" t="s">
        <v>72</v>
      </c>
      <c r="K554" t="s">
        <v>32</v>
      </c>
      <c r="L554">
        <v>54</v>
      </c>
      <c r="M554" t="str" cm="1">
        <f t="array" ref="M554">_xlfn.IFS(L554&lt;31, "Young Adult", L554&lt;=55, "Middle Age", L554&gt;55, "Old")</f>
        <v>Middle Age</v>
      </c>
      <c r="N554" t="s">
        <v>15</v>
      </c>
      <c r="O554">
        <f t="shared" si="8"/>
        <v>1</v>
      </c>
      <c r="P554" t="str" cm="1">
        <f t="array" ref="P554">_xlfn.IFS(D554&lt;=40000,"1. Up to 40K",D554&lt;=60000,"2. 40-60K",D554&lt;=80000,"3. 60-80K",TRUE,"4. Over 80K")</f>
        <v>2. 40-60K</v>
      </c>
    </row>
    <row r="555" spans="1:16"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c r="O555">
        <f t="shared" si="8"/>
        <v>1</v>
      </c>
      <c r="P555" t="str" cm="1">
        <f t="array" ref="P555">_xlfn.IFS(D555&lt;=40000,"1. Up to 40K",D555&lt;=60000,"2. 40-60K",D555&lt;=80000,"3. 60-80K",TRUE,"4. Over 80K")</f>
        <v>1. Up to 40K</v>
      </c>
    </row>
    <row r="556" spans="1:16"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c r="O556">
        <f t="shared" si="8"/>
        <v>1</v>
      </c>
      <c r="P556" t="str" cm="1">
        <f t="array" ref="P556">_xlfn.IFS(D556&lt;=40000,"1. Up to 40K",D556&lt;=60000,"2. 40-60K",D556&lt;=80000,"3. 60-80K",TRUE,"4. Over 80K")</f>
        <v>2. 40-60K</v>
      </c>
    </row>
    <row r="557" spans="1:16"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c r="O557">
        <f t="shared" si="8"/>
        <v>1</v>
      </c>
      <c r="P557" t="str" cm="1">
        <f t="array" ref="P557">_xlfn.IFS(D557&lt;=40000,"1. Up to 40K",D557&lt;=60000,"2. 40-60K",D557&lt;=80000,"3. 60-80K",TRUE,"4. Over 80K")</f>
        <v>2. 40-60K</v>
      </c>
    </row>
    <row r="558" spans="1:16"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c r="O558">
        <f t="shared" si="8"/>
        <v>0</v>
      </c>
      <c r="P558" t="str" cm="1">
        <f t="array" ref="P558">_xlfn.IFS(D558&lt;=40000,"1. Up to 40K",D558&lt;=60000,"2. 40-60K",D558&lt;=80000,"3. 60-80K",TRUE,"4. Over 80K")</f>
        <v>3. 60-80K</v>
      </c>
    </row>
    <row r="559" spans="1:16"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c r="O559">
        <f t="shared" si="8"/>
        <v>0</v>
      </c>
      <c r="P559" t="str" cm="1">
        <f t="array" ref="P559">_xlfn.IFS(D559&lt;=40000,"1. Up to 40K",D559&lt;=60000,"2. 40-60K",D559&lt;=80000,"3. 60-80K",TRUE,"4. Over 80K")</f>
        <v>1. Up to 40K</v>
      </c>
    </row>
    <row r="560" spans="1:16"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c r="O560">
        <f t="shared" si="8"/>
        <v>0</v>
      </c>
      <c r="P560" t="str" cm="1">
        <f t="array" ref="P560">_xlfn.IFS(D560&lt;=40000,"1. Up to 40K",D560&lt;=60000,"2. 40-60K",D560&lt;=80000,"3. 60-80K",TRUE,"4. Over 80K")</f>
        <v>2. 40-60K</v>
      </c>
    </row>
    <row r="561" spans="1:16" x14ac:dyDescent="0.25">
      <c r="A561">
        <v>15895</v>
      </c>
      <c r="B561" t="s">
        <v>51</v>
      </c>
      <c r="C561" t="s">
        <v>52</v>
      </c>
      <c r="D561" s="1">
        <v>60000</v>
      </c>
      <c r="E561">
        <v>2</v>
      </c>
      <c r="F561" t="s">
        <v>13</v>
      </c>
      <c r="G561" t="s">
        <v>28</v>
      </c>
      <c r="H561" t="s">
        <v>15</v>
      </c>
      <c r="I561">
        <v>0</v>
      </c>
      <c r="J561" t="s">
        <v>72</v>
      </c>
      <c r="K561" t="s">
        <v>32</v>
      </c>
      <c r="L561">
        <v>58</v>
      </c>
      <c r="M561" t="str" cm="1">
        <f t="array" ref="M561">_xlfn.IFS(L561&lt;31, "Young Adult", L561&lt;=55, "Middle Age", L561&gt;55, "Old")</f>
        <v>Old</v>
      </c>
      <c r="N561" t="s">
        <v>18</v>
      </c>
      <c r="O561">
        <f t="shared" si="8"/>
        <v>0</v>
      </c>
      <c r="P561" t="str" cm="1">
        <f t="array" ref="P561">_xlfn.IFS(D561&lt;=40000,"1. Up to 40K",D561&lt;=60000,"2. 40-60K",D561&lt;=80000,"3. 60-80K",TRUE,"4. Over 80K")</f>
        <v>2. 40-60K</v>
      </c>
    </row>
    <row r="562" spans="1:16"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c r="O562">
        <f t="shared" si="8"/>
        <v>0</v>
      </c>
      <c r="P562" t="str" cm="1">
        <f t="array" ref="P562">_xlfn.IFS(D562&lt;=40000,"1. Up to 40K",D562&lt;=60000,"2. 40-60K",D562&lt;=80000,"3. 60-80K",TRUE,"4. Over 80K")</f>
        <v>2. 40-60K</v>
      </c>
    </row>
    <row r="563" spans="1:16"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c r="O563">
        <f t="shared" si="8"/>
        <v>0</v>
      </c>
      <c r="P563" t="str" cm="1">
        <f t="array" ref="P563">_xlfn.IFS(D563&lt;=40000,"1. Up to 40K",D563&lt;=60000,"2. 40-60K",D563&lt;=80000,"3. 60-80K",TRUE,"4. Over 80K")</f>
        <v>1. Up to 40K</v>
      </c>
    </row>
    <row r="564" spans="1:16"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c r="O564">
        <f t="shared" si="8"/>
        <v>1</v>
      </c>
      <c r="P564" t="str" cm="1">
        <f t="array" ref="P564">_xlfn.IFS(D564&lt;=40000,"1. Up to 40K",D564&lt;=60000,"2. 40-60K",D564&lt;=80000,"3. 60-80K",TRUE,"4. Over 80K")</f>
        <v>3. 60-80K</v>
      </c>
    </row>
    <row r="565" spans="1:16"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c r="O565">
        <f t="shared" si="8"/>
        <v>0</v>
      </c>
      <c r="P565" t="str" cm="1">
        <f t="array" ref="P565">_xlfn.IFS(D565&lt;=40000,"1. Up to 40K",D565&lt;=60000,"2. 40-60K",D565&lt;=80000,"3. 60-80K",TRUE,"4. Over 80K")</f>
        <v>1. Up to 40K</v>
      </c>
    </row>
    <row r="566" spans="1:16"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c r="O566">
        <f t="shared" si="8"/>
        <v>0</v>
      </c>
      <c r="P566" t="str" cm="1">
        <f t="array" ref="P566">_xlfn.IFS(D566&lt;=40000,"1. Up to 40K",D566&lt;=60000,"2. 40-60K",D566&lt;=80000,"3. 60-80K",TRUE,"4. Over 80K")</f>
        <v>1. Up to 40K</v>
      </c>
    </row>
    <row r="567" spans="1:16"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c r="O567">
        <f t="shared" si="8"/>
        <v>1</v>
      </c>
      <c r="P567" t="str" cm="1">
        <f t="array" ref="P567">_xlfn.IFS(D567&lt;=40000,"1. Up to 40K",D567&lt;=60000,"2. 40-60K",D567&lt;=80000,"3. 60-80K",TRUE,"4. Over 80K")</f>
        <v>1. Up to 40K</v>
      </c>
    </row>
    <row r="568" spans="1:16"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c r="O568">
        <f t="shared" si="8"/>
        <v>0</v>
      </c>
      <c r="P568" t="str" cm="1">
        <f t="array" ref="P568">_xlfn.IFS(D568&lt;=40000,"1. Up to 40K",D568&lt;=60000,"2. 40-60K",D568&lt;=80000,"3. 60-80K",TRUE,"4. Over 80K")</f>
        <v>2. 40-60K</v>
      </c>
    </row>
    <row r="569" spans="1:16"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c r="O569">
        <f t="shared" si="8"/>
        <v>1</v>
      </c>
      <c r="P569" t="str" cm="1">
        <f t="array" ref="P569">_xlfn.IFS(D569&lt;=40000,"1. Up to 40K",D569&lt;=60000,"2. 40-60K",D569&lt;=80000,"3. 60-80K",TRUE,"4. Over 80K")</f>
        <v>1. Up to 40K</v>
      </c>
    </row>
    <row r="570" spans="1:16"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c r="O570">
        <f t="shared" si="8"/>
        <v>1</v>
      </c>
      <c r="P570" t="str" cm="1">
        <f t="array" ref="P570">_xlfn.IFS(D570&lt;=40000,"1. Up to 40K",D570&lt;=60000,"2. 40-60K",D570&lt;=80000,"3. 60-80K",TRUE,"4. Over 80K")</f>
        <v>3. 60-80K</v>
      </c>
    </row>
    <row r="571" spans="1:16" x14ac:dyDescent="0.25">
      <c r="A571">
        <v>26452</v>
      </c>
      <c r="B571" t="s">
        <v>51</v>
      </c>
      <c r="C571" t="s">
        <v>53</v>
      </c>
      <c r="D571" s="1">
        <v>50000</v>
      </c>
      <c r="E571">
        <v>3</v>
      </c>
      <c r="F571" t="s">
        <v>31</v>
      </c>
      <c r="G571" t="s">
        <v>28</v>
      </c>
      <c r="H571" t="s">
        <v>15</v>
      </c>
      <c r="I571">
        <v>2</v>
      </c>
      <c r="J571" t="s">
        <v>72</v>
      </c>
      <c r="K571" t="s">
        <v>32</v>
      </c>
      <c r="L571">
        <v>69</v>
      </c>
      <c r="M571" t="str" cm="1">
        <f t="array" ref="M571">_xlfn.IFS(L571&lt;31, "Young Adult", L571&lt;=55, "Middle Age", L571&gt;55, "Old")</f>
        <v>Old</v>
      </c>
      <c r="N571" t="s">
        <v>18</v>
      </c>
      <c r="O571">
        <f t="shared" si="8"/>
        <v>0</v>
      </c>
      <c r="P571" t="str" cm="1">
        <f t="array" ref="P571">_xlfn.IFS(D571&lt;=40000,"1. Up to 40K",D571&lt;=60000,"2. 40-60K",D571&lt;=80000,"3. 60-80K",TRUE,"4. Over 80K")</f>
        <v>2. 40-60K</v>
      </c>
    </row>
    <row r="572" spans="1:16"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c r="O572">
        <f t="shared" si="8"/>
        <v>0</v>
      </c>
      <c r="P572" t="str" cm="1">
        <f t="array" ref="P572">_xlfn.IFS(D572&lt;=40000,"1. Up to 40K",D572&lt;=60000,"2. 40-60K",D572&lt;=80000,"3. 60-80K",TRUE,"4. Over 80K")</f>
        <v>3. 60-80K</v>
      </c>
    </row>
    <row r="573" spans="1:16"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c r="O573">
        <f t="shared" si="8"/>
        <v>0</v>
      </c>
      <c r="P573" t="str" cm="1">
        <f t="array" ref="P573">_xlfn.IFS(D573&lt;=40000,"1. Up to 40K",D573&lt;=60000,"2. 40-60K",D573&lt;=80000,"3. 60-80K",TRUE,"4. Over 80K")</f>
        <v>1. Up to 40K</v>
      </c>
    </row>
    <row r="574" spans="1:16"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c r="O574">
        <f t="shared" si="8"/>
        <v>0</v>
      </c>
      <c r="P574" t="str" cm="1">
        <f t="array" ref="P574">_xlfn.IFS(D574&lt;=40000,"1. Up to 40K",D574&lt;=60000,"2. 40-60K",D574&lt;=80000,"3. 60-80K",TRUE,"4. Over 80K")</f>
        <v>1. Up to 40K</v>
      </c>
    </row>
    <row r="575" spans="1:16"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c r="O575">
        <f t="shared" si="8"/>
        <v>0</v>
      </c>
      <c r="P575" t="str" cm="1">
        <f t="array" ref="P575">_xlfn.IFS(D575&lt;=40000,"1. Up to 40K",D575&lt;=60000,"2. 40-60K",D575&lt;=80000,"3. 60-80K",TRUE,"4. Over 80K")</f>
        <v>2. 40-60K</v>
      </c>
    </row>
    <row r="576" spans="1:16"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c r="O576">
        <f t="shared" si="8"/>
        <v>1</v>
      </c>
      <c r="P576" t="str" cm="1">
        <f t="array" ref="P576">_xlfn.IFS(D576&lt;=40000,"1. Up to 40K",D576&lt;=60000,"2. 40-60K",D576&lt;=80000,"3. 60-80K",TRUE,"4. Over 80K")</f>
        <v>3. 60-80K</v>
      </c>
    </row>
    <row r="577" spans="1:16" x14ac:dyDescent="0.25">
      <c r="A577">
        <v>13388</v>
      </c>
      <c r="B577" t="s">
        <v>51</v>
      </c>
      <c r="C577" t="s">
        <v>53</v>
      </c>
      <c r="D577" s="1">
        <v>60000</v>
      </c>
      <c r="E577">
        <v>2</v>
      </c>
      <c r="F577" t="s">
        <v>19</v>
      </c>
      <c r="G577" t="s">
        <v>21</v>
      </c>
      <c r="H577" t="s">
        <v>15</v>
      </c>
      <c r="I577">
        <v>1</v>
      </c>
      <c r="J577" t="s">
        <v>72</v>
      </c>
      <c r="K577" t="s">
        <v>32</v>
      </c>
      <c r="L577">
        <v>56</v>
      </c>
      <c r="M577" t="str" cm="1">
        <f t="array" ref="M577">_xlfn.IFS(L577&lt;31, "Young Adult", L577&lt;=55, "Middle Age", L577&gt;55, "Old")</f>
        <v>Old</v>
      </c>
      <c r="N577" t="s">
        <v>18</v>
      </c>
      <c r="O577">
        <f t="shared" si="8"/>
        <v>0</v>
      </c>
      <c r="P577" t="str" cm="1">
        <f t="array" ref="P577">_xlfn.IFS(D577&lt;=40000,"1. Up to 40K",D577&lt;=60000,"2. 40-60K",D577&lt;=80000,"3. 60-80K",TRUE,"4. Over 80K")</f>
        <v>2. 40-60K</v>
      </c>
    </row>
    <row r="578" spans="1:16"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c r="O578">
        <f t="shared" si="8"/>
        <v>0</v>
      </c>
      <c r="P578" t="str" cm="1">
        <f t="array" ref="P578">_xlfn.IFS(D578&lt;=40000,"1. Up to 40K",D578&lt;=60000,"2. 40-60K",D578&lt;=80000,"3. 60-80K",TRUE,"4. Over 80K")</f>
        <v>1. Up to 40K</v>
      </c>
    </row>
    <row r="579" spans="1:16"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c r="O579">
        <f t="shared" ref="O579:O642" si="9">IF(N579="Yes",1,0)</f>
        <v>0</v>
      </c>
      <c r="P579" t="str" cm="1">
        <f t="array" ref="P579">_xlfn.IFS(D579&lt;=40000,"1. Up to 40K",D579&lt;=60000,"2. 40-60K",D579&lt;=80000,"3. 60-80K",TRUE,"4. Over 80K")</f>
        <v>4. Over 80K</v>
      </c>
    </row>
    <row r="580" spans="1:16"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c r="O580">
        <f t="shared" si="9"/>
        <v>0</v>
      </c>
      <c r="P580" t="str" cm="1">
        <f t="array" ref="P580">_xlfn.IFS(D580&lt;=40000,"1. Up to 40K",D580&lt;=60000,"2. 40-60K",D580&lt;=80000,"3. 60-80K",TRUE,"4. Over 80K")</f>
        <v>2. 40-60K</v>
      </c>
    </row>
    <row r="581" spans="1:16"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c r="O581">
        <f t="shared" si="9"/>
        <v>0</v>
      </c>
      <c r="P581" t="str" cm="1">
        <f t="array" ref="P581">_xlfn.IFS(D581&lt;=40000,"1. Up to 40K",D581&lt;=60000,"2. 40-60K",D581&lt;=80000,"3. 60-80K",TRUE,"4. Over 80K")</f>
        <v>1. Up to 40K</v>
      </c>
    </row>
    <row r="582" spans="1:16" x14ac:dyDescent="0.25">
      <c r="A582">
        <v>20380</v>
      </c>
      <c r="B582" t="s">
        <v>50</v>
      </c>
      <c r="C582" t="s">
        <v>52</v>
      </c>
      <c r="D582" s="1">
        <v>60000</v>
      </c>
      <c r="E582">
        <v>3</v>
      </c>
      <c r="F582" t="s">
        <v>31</v>
      </c>
      <c r="G582" t="s">
        <v>28</v>
      </c>
      <c r="H582" t="s">
        <v>15</v>
      </c>
      <c r="I582">
        <v>2</v>
      </c>
      <c r="J582" t="s">
        <v>72</v>
      </c>
      <c r="K582" t="s">
        <v>32</v>
      </c>
      <c r="L582">
        <v>69</v>
      </c>
      <c r="M582" t="str" cm="1">
        <f t="array" ref="M582">_xlfn.IFS(L582&lt;31, "Young Adult", L582&lt;=55, "Middle Age", L582&gt;55, "Old")</f>
        <v>Old</v>
      </c>
      <c r="N582" t="s">
        <v>18</v>
      </c>
      <c r="O582">
        <f t="shared" si="9"/>
        <v>0</v>
      </c>
      <c r="P582" t="str" cm="1">
        <f t="array" ref="P582">_xlfn.IFS(D582&lt;=40000,"1. Up to 40K",D582&lt;=60000,"2. 40-60K",D582&lt;=80000,"3. 60-80K",TRUE,"4. Over 80K")</f>
        <v>2. 40-60K</v>
      </c>
    </row>
    <row r="583" spans="1:16"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c r="O583">
        <f t="shared" si="9"/>
        <v>0</v>
      </c>
      <c r="P583" t="str" cm="1">
        <f t="array" ref="P583">_xlfn.IFS(D583&lt;=40000,"1. Up to 40K",D583&lt;=60000,"2. 40-60K",D583&lt;=80000,"3. 60-80K",TRUE,"4. Over 80K")</f>
        <v>1. Up to 40K</v>
      </c>
    </row>
    <row r="584" spans="1:16"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c r="O584">
        <f t="shared" si="9"/>
        <v>0</v>
      </c>
      <c r="P584" t="str" cm="1">
        <f t="array" ref="P584">_xlfn.IFS(D584&lt;=40000,"1. Up to 40K",D584&lt;=60000,"2. 40-60K",D584&lt;=80000,"3. 60-80K",TRUE,"4. Over 80K")</f>
        <v>3. 60-80K</v>
      </c>
    </row>
    <row r="585" spans="1:16" x14ac:dyDescent="0.25">
      <c r="A585">
        <v>24943</v>
      </c>
      <c r="B585" t="s">
        <v>50</v>
      </c>
      <c r="C585" t="s">
        <v>53</v>
      </c>
      <c r="D585" s="1">
        <v>60000</v>
      </c>
      <c r="E585">
        <v>3</v>
      </c>
      <c r="F585" t="s">
        <v>13</v>
      </c>
      <c r="G585" t="s">
        <v>28</v>
      </c>
      <c r="H585" t="s">
        <v>15</v>
      </c>
      <c r="I585">
        <v>2</v>
      </c>
      <c r="J585" t="s">
        <v>72</v>
      </c>
      <c r="K585" t="s">
        <v>32</v>
      </c>
      <c r="L585">
        <v>66</v>
      </c>
      <c r="M585" t="str" cm="1">
        <f t="array" ref="M585">_xlfn.IFS(L585&lt;31, "Young Adult", L585&lt;=55, "Middle Age", L585&gt;55, "Old")</f>
        <v>Old</v>
      </c>
      <c r="N585" t="s">
        <v>18</v>
      </c>
      <c r="O585">
        <f t="shared" si="9"/>
        <v>0</v>
      </c>
      <c r="P585" t="str" cm="1">
        <f t="array" ref="P585">_xlfn.IFS(D585&lt;=40000,"1. Up to 40K",D585&lt;=60000,"2. 40-60K",D585&lt;=80000,"3. 60-80K",TRUE,"4. Over 80K")</f>
        <v>2. 40-60K</v>
      </c>
    </row>
    <row r="586" spans="1:16"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c r="O586">
        <f t="shared" si="9"/>
        <v>1</v>
      </c>
      <c r="P586" t="str" cm="1">
        <f t="array" ref="P586">_xlfn.IFS(D586&lt;=40000,"1. Up to 40K",D586&lt;=60000,"2. 40-60K",D586&lt;=80000,"3. 60-80K",TRUE,"4. Over 80K")</f>
        <v>3. 60-80K</v>
      </c>
    </row>
    <row r="587" spans="1:16"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c r="O587">
        <f t="shared" si="9"/>
        <v>1</v>
      </c>
      <c r="P587" t="str" cm="1">
        <f t="array" ref="P587">_xlfn.IFS(D587&lt;=40000,"1. Up to 40K",D587&lt;=60000,"2. 40-60K",D587&lt;=80000,"3. 60-80K",TRUE,"4. Over 80K")</f>
        <v>4. Over 80K</v>
      </c>
    </row>
    <row r="588" spans="1:16"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c r="O588">
        <f t="shared" si="9"/>
        <v>0</v>
      </c>
      <c r="P588" t="str" cm="1">
        <f t="array" ref="P588">_xlfn.IFS(D588&lt;=40000,"1. Up to 40K",D588&lt;=60000,"2. 40-60K",D588&lt;=80000,"3. 60-80K",TRUE,"4. Over 80K")</f>
        <v>2. 40-60K</v>
      </c>
    </row>
    <row r="589" spans="1:16"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c r="O589">
        <f t="shared" si="9"/>
        <v>0</v>
      </c>
      <c r="P589" t="str" cm="1">
        <f t="array" ref="P589">_xlfn.IFS(D589&lt;=40000,"1. Up to 40K",D589&lt;=60000,"2. 40-60K",D589&lt;=80000,"3. 60-80K",TRUE,"4. Over 80K")</f>
        <v>4. Over 80K</v>
      </c>
    </row>
    <row r="590" spans="1:16" x14ac:dyDescent="0.25">
      <c r="A590">
        <v>16871</v>
      </c>
      <c r="B590" t="s">
        <v>50</v>
      </c>
      <c r="C590" t="s">
        <v>52</v>
      </c>
      <c r="D590" s="1">
        <v>90000</v>
      </c>
      <c r="E590">
        <v>2</v>
      </c>
      <c r="F590" t="s">
        <v>27</v>
      </c>
      <c r="G590" t="s">
        <v>21</v>
      </c>
      <c r="H590" t="s">
        <v>15</v>
      </c>
      <c r="I590">
        <v>1</v>
      </c>
      <c r="J590" t="s">
        <v>72</v>
      </c>
      <c r="K590" t="s">
        <v>32</v>
      </c>
      <c r="L590">
        <v>51</v>
      </c>
      <c r="M590" t="str" cm="1">
        <f t="array" ref="M590">_xlfn.IFS(L590&lt;31, "Young Adult", L590&lt;=55, "Middle Age", L590&gt;55, "Old")</f>
        <v>Middle Age</v>
      </c>
      <c r="N590" t="s">
        <v>15</v>
      </c>
      <c r="O590">
        <f t="shared" si="9"/>
        <v>1</v>
      </c>
      <c r="P590" t="str" cm="1">
        <f t="array" ref="P590">_xlfn.IFS(D590&lt;=40000,"1. Up to 40K",D590&lt;=60000,"2. 40-60K",D590&lt;=80000,"3. 60-80K",TRUE,"4. Over 80K")</f>
        <v>4. Over 80K</v>
      </c>
    </row>
    <row r="591" spans="1:16" x14ac:dyDescent="0.25">
      <c r="A591">
        <v>12100</v>
      </c>
      <c r="B591" t="s">
        <v>51</v>
      </c>
      <c r="C591" t="s">
        <v>53</v>
      </c>
      <c r="D591" s="1">
        <v>60000</v>
      </c>
      <c r="E591">
        <v>2</v>
      </c>
      <c r="F591" t="s">
        <v>13</v>
      </c>
      <c r="G591" t="s">
        <v>28</v>
      </c>
      <c r="H591" t="s">
        <v>15</v>
      </c>
      <c r="I591">
        <v>0</v>
      </c>
      <c r="J591" t="s">
        <v>72</v>
      </c>
      <c r="K591" t="s">
        <v>32</v>
      </c>
      <c r="L591">
        <v>57</v>
      </c>
      <c r="M591" t="str" cm="1">
        <f t="array" ref="M591">_xlfn.IFS(L591&lt;31, "Young Adult", L591&lt;=55, "Middle Age", L591&gt;55, "Old")</f>
        <v>Old</v>
      </c>
      <c r="N591" t="s">
        <v>18</v>
      </c>
      <c r="O591">
        <f t="shared" si="9"/>
        <v>0</v>
      </c>
      <c r="P591" t="str" cm="1">
        <f t="array" ref="P591">_xlfn.IFS(D591&lt;=40000,"1. Up to 40K",D591&lt;=60000,"2. 40-60K",D591&lt;=80000,"3. 60-80K",TRUE,"4. Over 80K")</f>
        <v>2. 40-60K</v>
      </c>
    </row>
    <row r="592" spans="1:16"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c r="O592">
        <f t="shared" si="9"/>
        <v>1</v>
      </c>
      <c r="P592" t="str" cm="1">
        <f t="array" ref="P592">_xlfn.IFS(D592&lt;=40000,"1. Up to 40K",D592&lt;=60000,"2. 40-60K",D592&lt;=80000,"3. 60-80K",TRUE,"4. Over 80K")</f>
        <v>2. 40-60K</v>
      </c>
    </row>
    <row r="593" spans="1:16" x14ac:dyDescent="0.25">
      <c r="A593">
        <v>18545</v>
      </c>
      <c r="B593" t="s">
        <v>50</v>
      </c>
      <c r="C593" t="s">
        <v>53</v>
      </c>
      <c r="D593" s="1">
        <v>40000</v>
      </c>
      <c r="E593">
        <v>4</v>
      </c>
      <c r="F593" t="s">
        <v>27</v>
      </c>
      <c r="G593" t="s">
        <v>21</v>
      </c>
      <c r="H593" t="s">
        <v>18</v>
      </c>
      <c r="I593">
        <v>2</v>
      </c>
      <c r="J593" t="s">
        <v>72</v>
      </c>
      <c r="K593" t="s">
        <v>32</v>
      </c>
      <c r="L593">
        <v>61</v>
      </c>
      <c r="M593" t="str" cm="1">
        <f t="array" ref="M593">_xlfn.IFS(L593&lt;31, "Young Adult", L593&lt;=55, "Middle Age", L593&gt;55, "Old")</f>
        <v>Old</v>
      </c>
      <c r="N593" t="s">
        <v>15</v>
      </c>
      <c r="O593">
        <f t="shared" si="9"/>
        <v>1</v>
      </c>
      <c r="P593" t="str" cm="1">
        <f t="array" ref="P593">_xlfn.IFS(D593&lt;=40000,"1. Up to 40K",D593&lt;=60000,"2. 40-60K",D593&lt;=80000,"3. 60-80K",TRUE,"4. Over 80K")</f>
        <v>1. Up to 40K</v>
      </c>
    </row>
    <row r="594" spans="1:16"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c r="O594">
        <f t="shared" si="9"/>
        <v>0</v>
      </c>
      <c r="P594" t="str" cm="1">
        <f t="array" ref="P594">_xlfn.IFS(D594&lt;=40000,"1. Up to 40K",D594&lt;=60000,"2. 40-60K",D594&lt;=80000,"3. 60-80K",TRUE,"4. Over 80K")</f>
        <v>3. 60-80K</v>
      </c>
    </row>
    <row r="595" spans="1:16"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c r="O595">
        <f t="shared" si="9"/>
        <v>1</v>
      </c>
      <c r="P595" t="str" cm="1">
        <f t="array" ref="P595">_xlfn.IFS(D595&lt;=40000,"1. Up to 40K",D595&lt;=60000,"2. 40-60K",D595&lt;=80000,"3. 60-80K",TRUE,"4. Over 80K")</f>
        <v>3. 60-80K</v>
      </c>
    </row>
    <row r="596" spans="1:16"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c r="O596">
        <f t="shared" si="9"/>
        <v>0</v>
      </c>
      <c r="P596" t="str" cm="1">
        <f t="array" ref="P596">_xlfn.IFS(D596&lt;=40000,"1. Up to 40K",D596&lt;=60000,"2. 40-60K",D596&lt;=80000,"3. 60-80K",TRUE,"4. Over 80K")</f>
        <v>3. 60-80K</v>
      </c>
    </row>
    <row r="597" spans="1:16"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c r="O597">
        <f t="shared" si="9"/>
        <v>0</v>
      </c>
      <c r="P597" t="str" cm="1">
        <f t="array" ref="P597">_xlfn.IFS(D597&lt;=40000,"1. Up to 40K",D597&lt;=60000,"2. 40-60K",D597&lt;=80000,"3. 60-80K",TRUE,"4. Over 80K")</f>
        <v>1. Up to 40K</v>
      </c>
    </row>
    <row r="598" spans="1:16"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c r="O598">
        <f t="shared" si="9"/>
        <v>0</v>
      </c>
      <c r="P598" t="str" cm="1">
        <f t="array" ref="P598">_xlfn.IFS(D598&lt;=40000,"1. Up to 40K",D598&lt;=60000,"2. 40-60K",D598&lt;=80000,"3. 60-80K",TRUE,"4. Over 80K")</f>
        <v>4. Over 80K</v>
      </c>
    </row>
    <row r="599" spans="1:16"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c r="O599">
        <f t="shared" si="9"/>
        <v>1</v>
      </c>
      <c r="P599" t="str" cm="1">
        <f t="array" ref="P599">_xlfn.IFS(D599&lt;=40000,"1. Up to 40K",D599&lt;=60000,"2. 40-60K",D599&lt;=80000,"3. 60-80K",TRUE,"4. Over 80K")</f>
        <v>1. Up to 40K</v>
      </c>
    </row>
    <row r="600" spans="1:16"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c r="O600">
        <f t="shared" si="9"/>
        <v>0</v>
      </c>
      <c r="P600" t="str" cm="1">
        <f t="array" ref="P600">_xlfn.IFS(D600&lt;=40000,"1. Up to 40K",D600&lt;=60000,"2. 40-60K",D600&lt;=80000,"3. 60-80K",TRUE,"4. Over 80K")</f>
        <v>4. Over 80K</v>
      </c>
    </row>
    <row r="601" spans="1:16"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c r="O601">
        <f t="shared" si="9"/>
        <v>1</v>
      </c>
      <c r="P601" t="str" cm="1">
        <f t="array" ref="P601">_xlfn.IFS(D601&lt;=40000,"1. Up to 40K",D601&lt;=60000,"2. 40-60K",D601&lt;=80000,"3. 60-80K",TRUE,"4. Over 80K")</f>
        <v>2. 40-60K</v>
      </c>
    </row>
    <row r="602" spans="1:16"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c r="O602">
        <f t="shared" si="9"/>
        <v>0</v>
      </c>
      <c r="P602" t="str" cm="1">
        <f t="array" ref="P602">_xlfn.IFS(D602&lt;=40000,"1. Up to 40K",D602&lt;=60000,"2. 40-60K",D602&lt;=80000,"3. 60-80K",TRUE,"4. Over 80K")</f>
        <v>1. Up to 40K</v>
      </c>
    </row>
    <row r="603" spans="1:16"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c r="O603">
        <f t="shared" si="9"/>
        <v>0</v>
      </c>
      <c r="P603" t="str" cm="1">
        <f t="array" ref="P603">_xlfn.IFS(D603&lt;=40000,"1. Up to 40K",D603&lt;=60000,"2. 40-60K",D603&lt;=80000,"3. 60-80K",TRUE,"4. Over 80K")</f>
        <v>3. 60-80K</v>
      </c>
    </row>
    <row r="604" spans="1:16"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c r="O604">
        <f t="shared" si="9"/>
        <v>1</v>
      </c>
      <c r="P604" t="str" cm="1">
        <f t="array" ref="P604">_xlfn.IFS(D604&lt;=40000,"1. Up to 40K",D604&lt;=60000,"2. 40-60K",D604&lt;=80000,"3. 60-80K",TRUE,"4. Over 80K")</f>
        <v>2. 40-60K</v>
      </c>
    </row>
    <row r="605" spans="1:16"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c r="O605">
        <f t="shared" si="9"/>
        <v>1</v>
      </c>
      <c r="P605" t="str" cm="1">
        <f t="array" ref="P605">_xlfn.IFS(D605&lt;=40000,"1. Up to 40K",D605&lt;=60000,"2. 40-60K",D605&lt;=80000,"3. 60-80K",TRUE,"4. Over 80K")</f>
        <v>2. 40-60K</v>
      </c>
    </row>
    <row r="606" spans="1:16"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c r="O606">
        <f t="shared" si="9"/>
        <v>0</v>
      </c>
      <c r="P606" t="str" cm="1">
        <f t="array" ref="P606">_xlfn.IFS(D606&lt;=40000,"1. Up to 40K",D606&lt;=60000,"2. 40-60K",D606&lt;=80000,"3. 60-80K",TRUE,"4. Over 80K")</f>
        <v>1. Up to 40K</v>
      </c>
    </row>
    <row r="607" spans="1:16"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c r="O607">
        <f t="shared" si="9"/>
        <v>1</v>
      </c>
      <c r="P607" t="str" cm="1">
        <f t="array" ref="P607">_xlfn.IFS(D607&lt;=40000,"1. Up to 40K",D607&lt;=60000,"2. 40-60K",D607&lt;=80000,"3. 60-80K",TRUE,"4. Over 80K")</f>
        <v>3. 60-80K</v>
      </c>
    </row>
    <row r="608" spans="1:16"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c r="O608">
        <f t="shared" si="9"/>
        <v>0</v>
      </c>
      <c r="P608" t="str" cm="1">
        <f t="array" ref="P608">_xlfn.IFS(D608&lt;=40000,"1. Up to 40K",D608&lt;=60000,"2. 40-60K",D608&lt;=80000,"3. 60-80K",TRUE,"4. Over 80K")</f>
        <v>1. Up to 40K</v>
      </c>
    </row>
    <row r="609" spans="1:16" x14ac:dyDescent="0.25">
      <c r="A609">
        <v>16145</v>
      </c>
      <c r="B609" t="s">
        <v>51</v>
      </c>
      <c r="C609" t="s">
        <v>52</v>
      </c>
      <c r="D609" s="1">
        <v>70000</v>
      </c>
      <c r="E609">
        <v>5</v>
      </c>
      <c r="F609" t="s">
        <v>31</v>
      </c>
      <c r="G609" t="s">
        <v>21</v>
      </c>
      <c r="H609" t="s">
        <v>15</v>
      </c>
      <c r="I609">
        <v>3</v>
      </c>
      <c r="J609" t="s">
        <v>72</v>
      </c>
      <c r="K609" t="s">
        <v>32</v>
      </c>
      <c r="L609">
        <v>46</v>
      </c>
      <c r="M609" t="str" cm="1">
        <f t="array" ref="M609">_xlfn.IFS(L609&lt;31, "Young Adult", L609&lt;=55, "Middle Age", L609&gt;55, "Old")</f>
        <v>Middle Age</v>
      </c>
      <c r="N609" t="s">
        <v>15</v>
      </c>
      <c r="O609">
        <f t="shared" si="9"/>
        <v>1</v>
      </c>
      <c r="P609" t="str" cm="1">
        <f t="array" ref="P609">_xlfn.IFS(D609&lt;=40000,"1. Up to 40K",D609&lt;=60000,"2. 40-60K",D609&lt;=80000,"3. 60-80K",TRUE,"4. Over 80K")</f>
        <v>3. 60-80K</v>
      </c>
    </row>
    <row r="610" spans="1:16"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c r="O610">
        <f t="shared" si="9"/>
        <v>1</v>
      </c>
      <c r="P610" t="str" cm="1">
        <f t="array" ref="P610">_xlfn.IFS(D610&lt;=40000,"1. Up to 40K",D610&lt;=60000,"2. 40-60K",D610&lt;=80000,"3. 60-80K",TRUE,"4. Over 80K")</f>
        <v>2. 40-60K</v>
      </c>
    </row>
    <row r="611" spans="1:16"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c r="O611">
        <f t="shared" si="9"/>
        <v>0</v>
      </c>
      <c r="P611" t="str" cm="1">
        <f t="array" ref="P611">_xlfn.IFS(D611&lt;=40000,"1. Up to 40K",D611&lt;=60000,"2. 40-60K",D611&lt;=80000,"3. 60-80K",TRUE,"4. Over 80K")</f>
        <v>3. 60-80K</v>
      </c>
    </row>
    <row r="612" spans="1:16"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c r="O612">
        <f t="shared" si="9"/>
        <v>0</v>
      </c>
      <c r="P612" t="str" cm="1">
        <f t="array" ref="P612">_xlfn.IFS(D612&lt;=40000,"1. Up to 40K",D612&lt;=60000,"2. 40-60K",D612&lt;=80000,"3. 60-80K",TRUE,"4. Over 80K")</f>
        <v>2. 40-60K</v>
      </c>
    </row>
    <row r="613" spans="1:16"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c r="O613">
        <f t="shared" si="9"/>
        <v>1</v>
      </c>
      <c r="P613" t="str" cm="1">
        <f t="array" ref="P613">_xlfn.IFS(D613&lt;=40000,"1. Up to 40K",D613&lt;=60000,"2. 40-60K",D613&lt;=80000,"3. 60-80K",TRUE,"4. Over 80K")</f>
        <v>3. 60-80K</v>
      </c>
    </row>
    <row r="614" spans="1:16"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c r="O614">
        <f t="shared" si="9"/>
        <v>0</v>
      </c>
      <c r="P614" t="str" cm="1">
        <f t="array" ref="P614">_xlfn.IFS(D614&lt;=40000,"1. Up to 40K",D614&lt;=60000,"2. 40-60K",D614&lt;=80000,"3. 60-80K",TRUE,"4. Over 80K")</f>
        <v>1. Up to 40K</v>
      </c>
    </row>
    <row r="615" spans="1:16"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c r="O615">
        <f t="shared" si="9"/>
        <v>1</v>
      </c>
      <c r="P615" t="str" cm="1">
        <f t="array" ref="P615">_xlfn.IFS(D615&lt;=40000,"1. Up to 40K",D615&lt;=60000,"2. 40-60K",D615&lt;=80000,"3. 60-80K",TRUE,"4. Over 80K")</f>
        <v>4. Over 80K</v>
      </c>
    </row>
    <row r="616" spans="1:16"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c r="O616">
        <f t="shared" si="9"/>
        <v>0</v>
      </c>
      <c r="P616" t="str" cm="1">
        <f t="array" ref="P616">_xlfn.IFS(D616&lt;=40000,"1. Up to 40K",D616&lt;=60000,"2. 40-60K",D616&lt;=80000,"3. 60-80K",TRUE,"4. Over 80K")</f>
        <v>4. Over 80K</v>
      </c>
    </row>
    <row r="617" spans="1:16"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c r="O617">
        <f t="shared" si="9"/>
        <v>1</v>
      </c>
      <c r="P617" t="str" cm="1">
        <f t="array" ref="P617">_xlfn.IFS(D617&lt;=40000,"1. Up to 40K",D617&lt;=60000,"2. 40-60K",D617&lt;=80000,"3. 60-80K",TRUE,"4. Over 80K")</f>
        <v>2. 40-60K</v>
      </c>
    </row>
    <row r="618" spans="1:16"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c r="O618">
        <f t="shared" si="9"/>
        <v>0</v>
      </c>
      <c r="P618" t="str" cm="1">
        <f t="array" ref="P618">_xlfn.IFS(D618&lt;=40000,"1. Up to 40K",D618&lt;=60000,"2. 40-60K",D618&lt;=80000,"3. 60-80K",TRUE,"4. Over 80K")</f>
        <v>3. 60-80K</v>
      </c>
    </row>
    <row r="619" spans="1:16"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c r="O619">
        <f t="shared" si="9"/>
        <v>1</v>
      </c>
      <c r="P619" t="str" cm="1">
        <f t="array" ref="P619">_xlfn.IFS(D619&lt;=40000,"1. Up to 40K",D619&lt;=60000,"2. 40-60K",D619&lt;=80000,"3. 60-80K",TRUE,"4. Over 80K")</f>
        <v>1. Up to 40K</v>
      </c>
    </row>
    <row r="620" spans="1:16"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c r="O620">
        <f t="shared" si="9"/>
        <v>0</v>
      </c>
      <c r="P620" t="str" cm="1">
        <f t="array" ref="P620">_xlfn.IFS(D620&lt;=40000,"1. Up to 40K",D620&lt;=60000,"2. 40-60K",D620&lt;=80000,"3. 60-80K",TRUE,"4. Over 80K")</f>
        <v>1. Up to 40K</v>
      </c>
    </row>
    <row r="621" spans="1:16"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c r="O621">
        <f t="shared" si="9"/>
        <v>0</v>
      </c>
      <c r="P621" t="str" cm="1">
        <f t="array" ref="P621">_xlfn.IFS(D621&lt;=40000,"1. Up to 40K",D621&lt;=60000,"2. 40-60K",D621&lt;=80000,"3. 60-80K",TRUE,"4. Over 80K")</f>
        <v>1. Up to 40K</v>
      </c>
    </row>
    <row r="622" spans="1:16"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c r="O622">
        <f t="shared" si="9"/>
        <v>1</v>
      </c>
      <c r="P622" t="str" cm="1">
        <f t="array" ref="P622">_xlfn.IFS(D622&lt;=40000,"1. Up to 40K",D622&lt;=60000,"2. 40-60K",D622&lt;=80000,"3. 60-80K",TRUE,"4. Over 80K")</f>
        <v>4. Over 80K</v>
      </c>
    </row>
    <row r="623" spans="1:16"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c r="O623">
        <f t="shared" si="9"/>
        <v>0</v>
      </c>
      <c r="P623" t="str" cm="1">
        <f t="array" ref="P623">_xlfn.IFS(D623&lt;=40000,"1. Up to 40K",D623&lt;=60000,"2. 40-60K",D623&lt;=80000,"3. 60-80K",TRUE,"4. Over 80K")</f>
        <v>3. 60-80K</v>
      </c>
    </row>
    <row r="624" spans="1:16"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c r="O624">
        <f t="shared" si="9"/>
        <v>0</v>
      </c>
      <c r="P624" t="str" cm="1">
        <f t="array" ref="P624">_xlfn.IFS(D624&lt;=40000,"1. Up to 40K",D624&lt;=60000,"2. 40-60K",D624&lt;=80000,"3. 60-80K",TRUE,"4. Over 80K")</f>
        <v>2. 40-60K</v>
      </c>
    </row>
    <row r="625" spans="1:16"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c r="O625">
        <f t="shared" si="9"/>
        <v>0</v>
      </c>
      <c r="P625" t="str" cm="1">
        <f t="array" ref="P625">_xlfn.IFS(D625&lt;=40000,"1. Up to 40K",D625&lt;=60000,"2. 40-60K",D625&lt;=80000,"3. 60-80K",TRUE,"4. Over 80K")</f>
        <v>3. 60-80K</v>
      </c>
    </row>
    <row r="626" spans="1:16"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c r="O626">
        <f t="shared" si="9"/>
        <v>1</v>
      </c>
      <c r="P626" t="str" cm="1">
        <f t="array" ref="P626">_xlfn.IFS(D626&lt;=40000,"1. Up to 40K",D626&lt;=60000,"2. 40-60K",D626&lt;=80000,"3. 60-80K",TRUE,"4. Over 80K")</f>
        <v>3. 60-80K</v>
      </c>
    </row>
    <row r="627" spans="1:16"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c r="O627">
        <f t="shared" si="9"/>
        <v>0</v>
      </c>
      <c r="P627" t="str" cm="1">
        <f t="array" ref="P627">_xlfn.IFS(D627&lt;=40000,"1. Up to 40K",D627&lt;=60000,"2. 40-60K",D627&lt;=80000,"3. 60-80K",TRUE,"4. Over 80K")</f>
        <v>2. 40-60K</v>
      </c>
    </row>
    <row r="628" spans="1:16"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c r="O628">
        <f t="shared" si="9"/>
        <v>0</v>
      </c>
      <c r="P628" t="str" cm="1">
        <f t="array" ref="P628">_xlfn.IFS(D628&lt;=40000,"1. Up to 40K",D628&lt;=60000,"2. 40-60K",D628&lt;=80000,"3. 60-80K",TRUE,"4. Over 80K")</f>
        <v>2. 40-60K</v>
      </c>
    </row>
    <row r="629" spans="1:16"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c r="O629">
        <f t="shared" si="9"/>
        <v>0</v>
      </c>
      <c r="P629" t="str" cm="1">
        <f t="array" ref="P629">_xlfn.IFS(D629&lt;=40000,"1. Up to 40K",D629&lt;=60000,"2. 40-60K",D629&lt;=80000,"3. 60-80K",TRUE,"4. Over 80K")</f>
        <v>2. 40-60K</v>
      </c>
    </row>
    <row r="630" spans="1:16"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c r="O630">
        <f t="shared" si="9"/>
        <v>1</v>
      </c>
      <c r="P630" t="str" cm="1">
        <f t="array" ref="P630">_xlfn.IFS(D630&lt;=40000,"1. Up to 40K",D630&lt;=60000,"2. 40-60K",D630&lt;=80000,"3. 60-80K",TRUE,"4. Over 80K")</f>
        <v>3. 60-80K</v>
      </c>
    </row>
    <row r="631" spans="1:16"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c r="O631">
        <f t="shared" si="9"/>
        <v>0</v>
      </c>
      <c r="P631" t="str" cm="1">
        <f t="array" ref="P631">_xlfn.IFS(D631&lt;=40000,"1. Up to 40K",D631&lt;=60000,"2. 40-60K",D631&lt;=80000,"3. 60-80K",TRUE,"4. Over 80K")</f>
        <v>2. 40-60K</v>
      </c>
    </row>
    <row r="632" spans="1:16"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c r="O632">
        <f t="shared" si="9"/>
        <v>0</v>
      </c>
      <c r="P632" t="str" cm="1">
        <f t="array" ref="P632">_xlfn.IFS(D632&lt;=40000,"1. Up to 40K",D632&lt;=60000,"2. 40-60K",D632&lt;=80000,"3. 60-80K",TRUE,"4. Over 80K")</f>
        <v>1. Up to 40K</v>
      </c>
    </row>
    <row r="633" spans="1:16"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c r="O633">
        <f t="shared" si="9"/>
        <v>0</v>
      </c>
      <c r="P633" t="str" cm="1">
        <f t="array" ref="P633">_xlfn.IFS(D633&lt;=40000,"1. Up to 40K",D633&lt;=60000,"2. 40-60K",D633&lt;=80000,"3. 60-80K",TRUE,"4. Over 80K")</f>
        <v>3. 60-80K</v>
      </c>
    </row>
    <row r="634" spans="1:16"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c r="O634">
        <f t="shared" si="9"/>
        <v>0</v>
      </c>
      <c r="P634" t="str" cm="1">
        <f t="array" ref="P634">_xlfn.IFS(D634&lt;=40000,"1. Up to 40K",D634&lt;=60000,"2. 40-60K",D634&lt;=80000,"3. 60-80K",TRUE,"4. Over 80K")</f>
        <v>3. 60-80K</v>
      </c>
    </row>
    <row r="635" spans="1:16"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c r="O635">
        <f t="shared" si="9"/>
        <v>1</v>
      </c>
      <c r="P635" t="str" cm="1">
        <f t="array" ref="P635">_xlfn.IFS(D635&lt;=40000,"1. Up to 40K",D635&lt;=60000,"2. 40-60K",D635&lt;=80000,"3. 60-80K",TRUE,"4. Over 80K")</f>
        <v>4. Over 80K</v>
      </c>
    </row>
    <row r="636" spans="1:16"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c r="O636">
        <f t="shared" si="9"/>
        <v>0</v>
      </c>
      <c r="P636" t="str" cm="1">
        <f t="array" ref="P636">_xlfn.IFS(D636&lt;=40000,"1. Up to 40K",D636&lt;=60000,"2. 40-60K",D636&lt;=80000,"3. 60-80K",TRUE,"4. Over 80K")</f>
        <v>2. 40-60K</v>
      </c>
    </row>
    <row r="637" spans="1:16"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c r="O637">
        <f t="shared" si="9"/>
        <v>0</v>
      </c>
      <c r="P637" t="str" cm="1">
        <f t="array" ref="P637">_xlfn.IFS(D637&lt;=40000,"1. Up to 40K",D637&lt;=60000,"2. 40-60K",D637&lt;=80000,"3. 60-80K",TRUE,"4. Over 80K")</f>
        <v>1. Up to 40K</v>
      </c>
    </row>
    <row r="638" spans="1:16"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c r="O638">
        <f t="shared" si="9"/>
        <v>1</v>
      </c>
      <c r="P638" t="str" cm="1">
        <f t="array" ref="P638">_xlfn.IFS(D638&lt;=40000,"1. Up to 40K",D638&lt;=60000,"2. 40-60K",D638&lt;=80000,"3. 60-80K",TRUE,"4. Over 80K")</f>
        <v>4. Over 80K</v>
      </c>
    </row>
    <row r="639" spans="1:16"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c r="O639">
        <f t="shared" si="9"/>
        <v>0</v>
      </c>
      <c r="P639" t="str" cm="1">
        <f t="array" ref="P639">_xlfn.IFS(D639&lt;=40000,"1. Up to 40K",D639&lt;=60000,"2. 40-60K",D639&lt;=80000,"3. 60-80K",TRUE,"4. Over 80K")</f>
        <v>1. Up to 40K</v>
      </c>
    </row>
    <row r="640" spans="1:16"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c r="O640">
        <f t="shared" si="9"/>
        <v>1</v>
      </c>
      <c r="P640" t="str" cm="1">
        <f t="array" ref="P640">_xlfn.IFS(D640&lt;=40000,"1. Up to 40K",D640&lt;=60000,"2. 40-60K",D640&lt;=80000,"3. 60-80K",TRUE,"4. Over 80K")</f>
        <v>3. 60-80K</v>
      </c>
    </row>
    <row r="641" spans="1:16"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c r="O641">
        <f t="shared" si="9"/>
        <v>0</v>
      </c>
      <c r="P641" t="str" cm="1">
        <f t="array" ref="P641">_xlfn.IFS(D641&lt;=40000,"1. Up to 40K",D641&lt;=60000,"2. 40-60K",D641&lt;=80000,"3. 60-80K",TRUE,"4. Over 80K")</f>
        <v>4. Over 80K</v>
      </c>
    </row>
    <row r="642" spans="1:16"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c r="O642">
        <f t="shared" si="9"/>
        <v>1</v>
      </c>
      <c r="P642" t="str" cm="1">
        <f t="array" ref="P642">_xlfn.IFS(D642&lt;=40000,"1. Up to 40K",D642&lt;=60000,"2. 40-60K",D642&lt;=80000,"3. 60-80K",TRUE,"4. Over 80K")</f>
        <v>2. 40-60K</v>
      </c>
    </row>
    <row r="643" spans="1:16" x14ac:dyDescent="0.25">
      <c r="A643">
        <v>21441</v>
      </c>
      <c r="B643" t="s">
        <v>50</v>
      </c>
      <c r="C643" t="s">
        <v>53</v>
      </c>
      <c r="D643" s="1">
        <v>50000</v>
      </c>
      <c r="E643">
        <v>4</v>
      </c>
      <c r="F643" t="s">
        <v>13</v>
      </c>
      <c r="G643" t="s">
        <v>28</v>
      </c>
      <c r="H643" t="s">
        <v>15</v>
      </c>
      <c r="I643">
        <v>2</v>
      </c>
      <c r="J643" t="s">
        <v>72</v>
      </c>
      <c r="K643" t="s">
        <v>32</v>
      </c>
      <c r="L643">
        <v>64</v>
      </c>
      <c r="M643" t="str" cm="1">
        <f t="array" ref="M643">_xlfn.IFS(L643&lt;31, "Young Adult", L643&lt;=55, "Middle Age", L643&gt;55, "Old")</f>
        <v>Old</v>
      </c>
      <c r="N643" t="s">
        <v>18</v>
      </c>
      <c r="O643">
        <f t="shared" ref="O643:O706" si="10">IF(N643="Yes",1,0)</f>
        <v>0</v>
      </c>
      <c r="P643" t="str" cm="1">
        <f t="array" ref="P643">_xlfn.IFS(D643&lt;=40000,"1. Up to 40K",D643&lt;=60000,"2. 40-60K",D643&lt;=80000,"3. 60-80K",TRUE,"4. Over 80K")</f>
        <v>2. 40-60K</v>
      </c>
    </row>
    <row r="644" spans="1:16"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c r="O644">
        <f t="shared" si="10"/>
        <v>1</v>
      </c>
      <c r="P644" t="str" cm="1">
        <f t="array" ref="P644">_xlfn.IFS(D644&lt;=40000,"1. Up to 40K",D644&lt;=60000,"2. 40-60K",D644&lt;=80000,"3. 60-80K",TRUE,"4. Over 80K")</f>
        <v>3. 60-80K</v>
      </c>
    </row>
    <row r="645" spans="1:16"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c r="O645">
        <f t="shared" si="10"/>
        <v>1</v>
      </c>
      <c r="P645" t="str" cm="1">
        <f t="array" ref="P645">_xlfn.IFS(D645&lt;=40000,"1. Up to 40K",D645&lt;=60000,"2. 40-60K",D645&lt;=80000,"3. 60-80K",TRUE,"4. Over 80K")</f>
        <v>3. 60-80K</v>
      </c>
    </row>
    <row r="646" spans="1:16" x14ac:dyDescent="0.25">
      <c r="A646">
        <v>23368</v>
      </c>
      <c r="B646" t="s">
        <v>50</v>
      </c>
      <c r="C646" t="s">
        <v>52</v>
      </c>
      <c r="D646" s="1">
        <v>60000</v>
      </c>
      <c r="E646">
        <v>5</v>
      </c>
      <c r="F646" t="s">
        <v>13</v>
      </c>
      <c r="G646" t="s">
        <v>14</v>
      </c>
      <c r="H646" t="s">
        <v>15</v>
      </c>
      <c r="I646">
        <v>3</v>
      </c>
      <c r="J646" t="s">
        <v>72</v>
      </c>
      <c r="K646" t="s">
        <v>32</v>
      </c>
      <c r="L646">
        <v>41</v>
      </c>
      <c r="M646" t="str" cm="1">
        <f t="array" ref="M646">_xlfn.IFS(L646&lt;31, "Young Adult", L646&lt;=55, "Middle Age", L646&gt;55, "Old")</f>
        <v>Middle Age</v>
      </c>
      <c r="N646" t="s">
        <v>18</v>
      </c>
      <c r="O646">
        <f t="shared" si="10"/>
        <v>0</v>
      </c>
      <c r="P646" t="str" cm="1">
        <f t="array" ref="P646">_xlfn.IFS(D646&lt;=40000,"1. Up to 40K",D646&lt;=60000,"2. 40-60K",D646&lt;=80000,"3. 60-80K",TRUE,"4. Over 80K")</f>
        <v>2. 40-60K</v>
      </c>
    </row>
    <row r="647" spans="1:16"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c r="O647">
        <f t="shared" si="10"/>
        <v>0</v>
      </c>
      <c r="P647" t="str" cm="1">
        <f t="array" ref="P647">_xlfn.IFS(D647&lt;=40000,"1. Up to 40K",D647&lt;=60000,"2. 40-60K",D647&lt;=80000,"3. 60-80K",TRUE,"4. Over 80K")</f>
        <v>2. 40-60K</v>
      </c>
    </row>
    <row r="648" spans="1:16"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c r="O648">
        <f t="shared" si="10"/>
        <v>0</v>
      </c>
      <c r="P648" t="str" cm="1">
        <f t="array" ref="P648">_xlfn.IFS(D648&lt;=40000,"1. Up to 40K",D648&lt;=60000,"2. 40-60K",D648&lt;=80000,"3. 60-80K",TRUE,"4. Over 80K")</f>
        <v>2. 40-60K</v>
      </c>
    </row>
    <row r="649" spans="1:16"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c r="O649">
        <f t="shared" si="10"/>
        <v>0</v>
      </c>
      <c r="P649" t="str" cm="1">
        <f t="array" ref="P649">_xlfn.IFS(D649&lt;=40000,"1. Up to 40K",D649&lt;=60000,"2. 40-60K",D649&lt;=80000,"3. 60-80K",TRUE,"4. Over 80K")</f>
        <v>1. Up to 40K</v>
      </c>
    </row>
    <row r="650" spans="1:16"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c r="O650">
        <f t="shared" si="10"/>
        <v>1</v>
      </c>
      <c r="P650" t="str" cm="1">
        <f t="array" ref="P650">_xlfn.IFS(D650&lt;=40000,"1. Up to 40K",D650&lt;=60000,"2. 40-60K",D650&lt;=80000,"3. 60-80K",TRUE,"4. Over 80K")</f>
        <v>3. 60-80K</v>
      </c>
    </row>
    <row r="651" spans="1:16"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c r="O651">
        <f t="shared" si="10"/>
        <v>1</v>
      </c>
      <c r="P651" t="str" cm="1">
        <f t="array" ref="P651">_xlfn.IFS(D651&lt;=40000,"1. Up to 40K",D651&lt;=60000,"2. 40-60K",D651&lt;=80000,"3. 60-80K",TRUE,"4. Over 80K")</f>
        <v>3. 60-80K</v>
      </c>
    </row>
    <row r="652" spans="1:16" x14ac:dyDescent="0.25">
      <c r="A652">
        <v>18435</v>
      </c>
      <c r="B652" t="s">
        <v>51</v>
      </c>
      <c r="C652" t="s">
        <v>52</v>
      </c>
      <c r="D652" s="1">
        <v>70000</v>
      </c>
      <c r="E652">
        <v>5</v>
      </c>
      <c r="F652" t="s">
        <v>31</v>
      </c>
      <c r="G652" t="s">
        <v>28</v>
      </c>
      <c r="H652" t="s">
        <v>15</v>
      </c>
      <c r="I652">
        <v>2</v>
      </c>
      <c r="J652" t="s">
        <v>72</v>
      </c>
      <c r="K652" t="s">
        <v>32</v>
      </c>
      <c r="L652">
        <v>67</v>
      </c>
      <c r="M652" t="str" cm="1">
        <f t="array" ref="M652">_xlfn.IFS(L652&lt;31, "Young Adult", L652&lt;=55, "Middle Age", L652&gt;55, "Old")</f>
        <v>Old</v>
      </c>
      <c r="N652" t="s">
        <v>15</v>
      </c>
      <c r="O652">
        <f t="shared" si="10"/>
        <v>1</v>
      </c>
      <c r="P652" t="str" cm="1">
        <f t="array" ref="P652">_xlfn.IFS(D652&lt;=40000,"1. Up to 40K",D652&lt;=60000,"2. 40-60K",D652&lt;=80000,"3. 60-80K",TRUE,"4. Over 80K")</f>
        <v>3. 60-80K</v>
      </c>
    </row>
    <row r="653" spans="1:16"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c r="O653">
        <f t="shared" si="10"/>
        <v>1</v>
      </c>
      <c r="P653" t="str" cm="1">
        <f t="array" ref="P653">_xlfn.IFS(D653&lt;=40000,"1. Up to 40K",D653&lt;=60000,"2. 40-60K",D653&lt;=80000,"3. 60-80K",TRUE,"4. Over 80K")</f>
        <v>2. 40-60K</v>
      </c>
    </row>
    <row r="654" spans="1:16"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c r="O654">
        <f t="shared" si="10"/>
        <v>0</v>
      </c>
      <c r="P654" t="str" cm="1">
        <f t="array" ref="P654">_xlfn.IFS(D654&lt;=40000,"1. Up to 40K",D654&lt;=60000,"2. 40-60K",D654&lt;=80000,"3. 60-80K",TRUE,"4. Over 80K")</f>
        <v>3. 60-80K</v>
      </c>
    </row>
    <row r="655" spans="1:16"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c r="O655">
        <f t="shared" si="10"/>
        <v>1</v>
      </c>
      <c r="P655" t="str" cm="1">
        <f t="array" ref="P655">_xlfn.IFS(D655&lt;=40000,"1. Up to 40K",D655&lt;=60000,"2. 40-60K",D655&lt;=80000,"3. 60-80K",TRUE,"4. Over 80K")</f>
        <v>1. Up to 40K</v>
      </c>
    </row>
    <row r="656" spans="1:16"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c r="O656">
        <f t="shared" si="10"/>
        <v>1</v>
      </c>
      <c r="P656" t="str" cm="1">
        <f t="array" ref="P656">_xlfn.IFS(D656&lt;=40000,"1. Up to 40K",D656&lt;=60000,"2. 40-60K",D656&lt;=80000,"3. 60-80K",TRUE,"4. Over 80K")</f>
        <v>1. Up to 40K</v>
      </c>
    </row>
    <row r="657" spans="1:16"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c r="O657">
        <f t="shared" si="10"/>
        <v>0</v>
      </c>
      <c r="P657" t="str" cm="1">
        <f t="array" ref="P657">_xlfn.IFS(D657&lt;=40000,"1. Up to 40K",D657&lt;=60000,"2. 40-60K",D657&lt;=80000,"3. 60-80K",TRUE,"4. Over 80K")</f>
        <v>1. Up to 40K</v>
      </c>
    </row>
    <row r="658" spans="1:16"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c r="O658">
        <f t="shared" si="10"/>
        <v>0</v>
      </c>
      <c r="P658" t="str" cm="1">
        <f t="array" ref="P658">_xlfn.IFS(D658&lt;=40000,"1. Up to 40K",D658&lt;=60000,"2. 40-60K",D658&lt;=80000,"3. 60-80K",TRUE,"4. Over 80K")</f>
        <v>2. 40-60K</v>
      </c>
    </row>
    <row r="659" spans="1:16"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c r="O659">
        <f t="shared" si="10"/>
        <v>0</v>
      </c>
      <c r="P659" t="str" cm="1">
        <f t="array" ref="P659">_xlfn.IFS(D659&lt;=40000,"1. Up to 40K",D659&lt;=60000,"2. 40-60K",D659&lt;=80000,"3. 60-80K",TRUE,"4. Over 80K")</f>
        <v>3. 60-80K</v>
      </c>
    </row>
    <row r="660" spans="1:16"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c r="O660">
        <f t="shared" si="10"/>
        <v>1</v>
      </c>
      <c r="P660" t="str" cm="1">
        <f t="array" ref="P660">_xlfn.IFS(D660&lt;=40000,"1. Up to 40K",D660&lt;=60000,"2. 40-60K",D660&lt;=80000,"3. 60-80K",TRUE,"4. Over 80K")</f>
        <v>2. 40-60K</v>
      </c>
    </row>
    <row r="661" spans="1:16" x14ac:dyDescent="0.25">
      <c r="A661">
        <v>24643</v>
      </c>
      <c r="B661" t="s">
        <v>51</v>
      </c>
      <c r="C661" t="s">
        <v>52</v>
      </c>
      <c r="D661" s="1">
        <v>60000</v>
      </c>
      <c r="E661">
        <v>4</v>
      </c>
      <c r="F661" t="s">
        <v>13</v>
      </c>
      <c r="G661" t="s">
        <v>28</v>
      </c>
      <c r="H661" t="s">
        <v>15</v>
      </c>
      <c r="I661">
        <v>2</v>
      </c>
      <c r="J661" t="s">
        <v>72</v>
      </c>
      <c r="K661" t="s">
        <v>32</v>
      </c>
      <c r="L661">
        <v>63</v>
      </c>
      <c r="M661" t="str" cm="1">
        <f t="array" ref="M661">_xlfn.IFS(L661&lt;31, "Young Adult", L661&lt;=55, "Middle Age", L661&gt;55, "Old")</f>
        <v>Old</v>
      </c>
      <c r="N661" t="s">
        <v>18</v>
      </c>
      <c r="O661">
        <f t="shared" si="10"/>
        <v>0</v>
      </c>
      <c r="P661" t="str" cm="1">
        <f t="array" ref="P661">_xlfn.IFS(D661&lt;=40000,"1. Up to 40K",D661&lt;=60000,"2. 40-60K",D661&lt;=80000,"3. 60-80K",TRUE,"4. Over 80K")</f>
        <v>2. 40-60K</v>
      </c>
    </row>
    <row r="662" spans="1:16"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c r="O662">
        <f t="shared" si="10"/>
        <v>1</v>
      </c>
      <c r="P662" t="str" cm="1">
        <f t="array" ref="P662">_xlfn.IFS(D662&lt;=40000,"1. Up to 40K",D662&lt;=60000,"2. 40-60K",D662&lt;=80000,"3. 60-80K",TRUE,"4. Over 80K")</f>
        <v>2. 40-60K</v>
      </c>
    </row>
    <row r="663" spans="1:16"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c r="O663">
        <f t="shared" si="10"/>
        <v>1</v>
      </c>
      <c r="P663" t="str" cm="1">
        <f t="array" ref="P663">_xlfn.IFS(D663&lt;=40000,"1. Up to 40K",D663&lt;=60000,"2. 40-60K",D663&lt;=80000,"3. 60-80K",TRUE,"4. Over 80K")</f>
        <v>1. Up to 40K</v>
      </c>
    </row>
    <row r="664" spans="1:16"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c r="O664">
        <f t="shared" si="10"/>
        <v>0</v>
      </c>
      <c r="P664" t="str" cm="1">
        <f t="array" ref="P664">_xlfn.IFS(D664&lt;=40000,"1. Up to 40K",D664&lt;=60000,"2. 40-60K",D664&lt;=80000,"3. 60-80K",TRUE,"4. Over 80K")</f>
        <v>4. Over 80K</v>
      </c>
    </row>
    <row r="665" spans="1:16"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c r="O665">
        <f t="shared" si="10"/>
        <v>0</v>
      </c>
      <c r="P665" t="str" cm="1">
        <f t="array" ref="P665">_xlfn.IFS(D665&lt;=40000,"1. Up to 40K",D665&lt;=60000,"2. 40-60K",D665&lt;=80000,"3. 60-80K",TRUE,"4. Over 80K")</f>
        <v>3. 60-80K</v>
      </c>
    </row>
    <row r="666" spans="1:16"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c r="O666">
        <f t="shared" si="10"/>
        <v>1</v>
      </c>
      <c r="P666" t="str" cm="1">
        <f t="array" ref="P666">_xlfn.IFS(D666&lt;=40000,"1. Up to 40K",D666&lt;=60000,"2. 40-60K",D666&lt;=80000,"3. 60-80K",TRUE,"4. Over 80K")</f>
        <v>3. 60-80K</v>
      </c>
    </row>
    <row r="667" spans="1:16"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c r="O667">
        <f t="shared" si="10"/>
        <v>0</v>
      </c>
      <c r="P667" t="str" cm="1">
        <f t="array" ref="P667">_xlfn.IFS(D667&lt;=40000,"1. Up to 40K",D667&lt;=60000,"2. 40-60K",D667&lt;=80000,"3. 60-80K",TRUE,"4. Over 80K")</f>
        <v>4. Over 80K</v>
      </c>
    </row>
    <row r="668" spans="1:16"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c r="O668">
        <f t="shared" si="10"/>
        <v>1</v>
      </c>
      <c r="P668" t="str" cm="1">
        <f t="array" ref="P668">_xlfn.IFS(D668&lt;=40000,"1. Up to 40K",D668&lt;=60000,"2. 40-60K",D668&lt;=80000,"3. 60-80K",TRUE,"4. Over 80K")</f>
        <v>2. 40-60K</v>
      </c>
    </row>
    <row r="669" spans="1:16" x14ac:dyDescent="0.25">
      <c r="A669">
        <v>20505</v>
      </c>
      <c r="B669" t="s">
        <v>50</v>
      </c>
      <c r="C669" t="s">
        <v>52</v>
      </c>
      <c r="D669" s="1">
        <v>40000</v>
      </c>
      <c r="E669">
        <v>5</v>
      </c>
      <c r="F669" t="s">
        <v>27</v>
      </c>
      <c r="G669" t="s">
        <v>21</v>
      </c>
      <c r="H669" t="s">
        <v>18</v>
      </c>
      <c r="I669">
        <v>2</v>
      </c>
      <c r="J669" t="s">
        <v>72</v>
      </c>
      <c r="K669" t="s">
        <v>32</v>
      </c>
      <c r="L669">
        <v>61</v>
      </c>
      <c r="M669" t="str" cm="1">
        <f t="array" ref="M669">_xlfn.IFS(L669&lt;31, "Young Adult", L669&lt;=55, "Middle Age", L669&gt;55, "Old")</f>
        <v>Old</v>
      </c>
      <c r="N669" t="s">
        <v>18</v>
      </c>
      <c r="O669">
        <f t="shared" si="10"/>
        <v>0</v>
      </c>
      <c r="P669" t="str" cm="1">
        <f t="array" ref="P669">_xlfn.IFS(D669&lt;=40000,"1. Up to 40K",D669&lt;=60000,"2. 40-60K",D669&lt;=80000,"3. 60-80K",TRUE,"4. Over 80K")</f>
        <v>1. Up to 40K</v>
      </c>
    </row>
    <row r="670" spans="1:16"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c r="O670">
        <f t="shared" si="10"/>
        <v>0</v>
      </c>
      <c r="P670" t="str" cm="1">
        <f t="array" ref="P670">_xlfn.IFS(D670&lt;=40000,"1. Up to 40K",D670&lt;=60000,"2. 40-60K",D670&lt;=80000,"3. 60-80K",TRUE,"4. Over 80K")</f>
        <v>2. 40-60K</v>
      </c>
    </row>
    <row r="671" spans="1:16"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c r="O671">
        <f t="shared" si="10"/>
        <v>0</v>
      </c>
      <c r="P671" t="str" cm="1">
        <f t="array" ref="P671">_xlfn.IFS(D671&lt;=40000,"1. Up to 40K",D671&lt;=60000,"2. 40-60K",D671&lt;=80000,"3. 60-80K",TRUE,"4. Over 80K")</f>
        <v>2. 40-60K</v>
      </c>
    </row>
    <row r="672" spans="1:16" x14ac:dyDescent="0.25">
      <c r="A672">
        <v>21471</v>
      </c>
      <c r="B672" t="s">
        <v>50</v>
      </c>
      <c r="C672" t="s">
        <v>53</v>
      </c>
      <c r="D672" s="1">
        <v>70000</v>
      </c>
      <c r="E672">
        <v>2</v>
      </c>
      <c r="F672" t="s">
        <v>19</v>
      </c>
      <c r="G672" t="s">
        <v>21</v>
      </c>
      <c r="H672" t="s">
        <v>15</v>
      </c>
      <c r="I672">
        <v>1</v>
      </c>
      <c r="J672" t="s">
        <v>72</v>
      </c>
      <c r="K672" t="s">
        <v>32</v>
      </c>
      <c r="L672">
        <v>59</v>
      </c>
      <c r="M672" t="str" cm="1">
        <f t="array" ref="M672">_xlfn.IFS(L672&lt;31, "Young Adult", L672&lt;=55, "Middle Age", L672&gt;55, "Old")</f>
        <v>Old</v>
      </c>
      <c r="N672" t="s">
        <v>18</v>
      </c>
      <c r="O672">
        <f t="shared" si="10"/>
        <v>0</v>
      </c>
      <c r="P672" t="str" cm="1">
        <f t="array" ref="P672">_xlfn.IFS(D672&lt;=40000,"1. Up to 40K",D672&lt;=60000,"2. 40-60K",D672&lt;=80000,"3. 60-80K",TRUE,"4. Over 80K")</f>
        <v>3. 60-80K</v>
      </c>
    </row>
    <row r="673" spans="1:16"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c r="O673">
        <f t="shared" si="10"/>
        <v>1</v>
      </c>
      <c r="P673" t="str" cm="1">
        <f t="array" ref="P673">_xlfn.IFS(D673&lt;=40000,"1. Up to 40K",D673&lt;=60000,"2. 40-60K",D673&lt;=80000,"3. 60-80K",TRUE,"4. Over 80K")</f>
        <v>2. 40-60K</v>
      </c>
    </row>
    <row r="674" spans="1:16"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c r="O674">
        <f t="shared" si="10"/>
        <v>0</v>
      </c>
      <c r="P674" t="str" cm="1">
        <f t="array" ref="P674">_xlfn.IFS(D674&lt;=40000,"1. Up to 40K",D674&lt;=60000,"2. 40-60K",D674&lt;=80000,"3. 60-80K",TRUE,"4. Over 80K")</f>
        <v>1. Up to 40K</v>
      </c>
    </row>
    <row r="675" spans="1:16"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c r="O675">
        <f t="shared" si="10"/>
        <v>1</v>
      </c>
      <c r="P675" t="str" cm="1">
        <f t="array" ref="P675">_xlfn.IFS(D675&lt;=40000,"1. Up to 40K",D675&lt;=60000,"2. 40-60K",D675&lt;=80000,"3. 60-80K",TRUE,"4. Over 80K")</f>
        <v>3. 60-80K</v>
      </c>
    </row>
    <row r="676" spans="1:16"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c r="O676">
        <f t="shared" si="10"/>
        <v>0</v>
      </c>
      <c r="P676" t="str" cm="1">
        <f t="array" ref="P676">_xlfn.IFS(D676&lt;=40000,"1. Up to 40K",D676&lt;=60000,"2. 40-60K",D676&lt;=80000,"3. 60-80K",TRUE,"4. Over 80K")</f>
        <v>1. Up to 40K</v>
      </c>
    </row>
    <row r="677" spans="1:16"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c r="O677">
        <f t="shared" si="10"/>
        <v>0</v>
      </c>
      <c r="P677" t="str" cm="1">
        <f t="array" ref="P677">_xlfn.IFS(D677&lt;=40000,"1. Up to 40K",D677&lt;=60000,"2. 40-60K",D677&lt;=80000,"3. 60-80K",TRUE,"4. Over 80K")</f>
        <v>4. Over 80K</v>
      </c>
    </row>
    <row r="678" spans="1:16"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c r="O678">
        <f t="shared" si="10"/>
        <v>0</v>
      </c>
      <c r="P678" t="str" cm="1">
        <f t="array" ref="P678">_xlfn.IFS(D678&lt;=40000,"1. Up to 40K",D678&lt;=60000,"2. 40-60K",D678&lt;=80000,"3. 60-80K",TRUE,"4. Over 80K")</f>
        <v>1. Up to 40K</v>
      </c>
    </row>
    <row r="679" spans="1:16"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c r="O679">
        <f t="shared" si="10"/>
        <v>0</v>
      </c>
      <c r="P679" t="str" cm="1">
        <f t="array" ref="P679">_xlfn.IFS(D679&lt;=40000,"1. Up to 40K",D679&lt;=60000,"2. 40-60K",D679&lt;=80000,"3. 60-80K",TRUE,"4. Over 80K")</f>
        <v>2. 40-60K</v>
      </c>
    </row>
    <row r="680" spans="1:16"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c r="O680">
        <f t="shared" si="10"/>
        <v>0</v>
      </c>
      <c r="P680" t="str" cm="1">
        <f t="array" ref="P680">_xlfn.IFS(D680&lt;=40000,"1. Up to 40K",D680&lt;=60000,"2. 40-60K",D680&lt;=80000,"3. 60-80K",TRUE,"4. Over 80K")</f>
        <v>3. 60-80K</v>
      </c>
    </row>
    <row r="681" spans="1:16" x14ac:dyDescent="0.25">
      <c r="A681">
        <v>21770</v>
      </c>
      <c r="B681" t="s">
        <v>50</v>
      </c>
      <c r="C681" t="s">
        <v>53</v>
      </c>
      <c r="D681" s="1">
        <v>60000</v>
      </c>
      <c r="E681">
        <v>4</v>
      </c>
      <c r="F681" t="s">
        <v>13</v>
      </c>
      <c r="G681" t="s">
        <v>28</v>
      </c>
      <c r="H681" t="s">
        <v>15</v>
      </c>
      <c r="I681">
        <v>2</v>
      </c>
      <c r="J681" t="s">
        <v>72</v>
      </c>
      <c r="K681" t="s">
        <v>32</v>
      </c>
      <c r="L681">
        <v>60</v>
      </c>
      <c r="M681" t="str" cm="1">
        <f t="array" ref="M681">_xlfn.IFS(L681&lt;31, "Young Adult", L681&lt;=55, "Middle Age", L681&gt;55, "Old")</f>
        <v>Old</v>
      </c>
      <c r="N681" t="s">
        <v>18</v>
      </c>
      <c r="O681">
        <f t="shared" si="10"/>
        <v>0</v>
      </c>
      <c r="P681" t="str" cm="1">
        <f t="array" ref="P681">_xlfn.IFS(D681&lt;=40000,"1. Up to 40K",D681&lt;=60000,"2. 40-60K",D681&lt;=80000,"3. 60-80K",TRUE,"4. Over 80K")</f>
        <v>2. 40-60K</v>
      </c>
    </row>
    <row r="682" spans="1:16"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c r="O682">
        <f t="shared" si="10"/>
        <v>0</v>
      </c>
      <c r="P682" t="str" cm="1">
        <f t="array" ref="P682">_xlfn.IFS(D682&lt;=40000,"1. Up to 40K",D682&lt;=60000,"2. 40-60K",D682&lt;=80000,"3. 60-80K",TRUE,"4. Over 80K")</f>
        <v>2. 40-60K</v>
      </c>
    </row>
    <row r="683" spans="1:16"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c r="O683">
        <f t="shared" si="10"/>
        <v>0</v>
      </c>
      <c r="P683" t="str" cm="1">
        <f t="array" ref="P683">_xlfn.IFS(D683&lt;=40000,"1. Up to 40K",D683&lt;=60000,"2. 40-60K",D683&lt;=80000,"3. 60-80K",TRUE,"4. Over 80K")</f>
        <v>3. 60-80K</v>
      </c>
    </row>
    <row r="684" spans="1:16"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c r="O684">
        <f t="shared" si="10"/>
        <v>0</v>
      </c>
      <c r="P684" t="str" cm="1">
        <f t="array" ref="P684">_xlfn.IFS(D684&lt;=40000,"1. Up to 40K",D684&lt;=60000,"2. 40-60K",D684&lt;=80000,"3. 60-80K",TRUE,"4. Over 80K")</f>
        <v>1. Up to 40K</v>
      </c>
    </row>
    <row r="685" spans="1:16"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c r="O685">
        <f t="shared" si="10"/>
        <v>0</v>
      </c>
      <c r="P685" t="str" cm="1">
        <f t="array" ref="P685">_xlfn.IFS(D685&lt;=40000,"1. Up to 40K",D685&lt;=60000,"2. 40-60K",D685&lt;=80000,"3. 60-80K",TRUE,"4. Over 80K")</f>
        <v>4. Over 80K</v>
      </c>
    </row>
    <row r="686" spans="1:16"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c r="O686">
        <f t="shared" si="10"/>
        <v>0</v>
      </c>
      <c r="P686" t="str" cm="1">
        <f t="array" ref="P686">_xlfn.IFS(D686&lt;=40000,"1. Up to 40K",D686&lt;=60000,"2. 40-60K",D686&lt;=80000,"3. 60-80K",TRUE,"4. Over 80K")</f>
        <v>2. 40-60K</v>
      </c>
    </row>
    <row r="687" spans="1:16"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c r="O687">
        <f t="shared" si="10"/>
        <v>1</v>
      </c>
      <c r="P687" t="str" cm="1">
        <f t="array" ref="P687">_xlfn.IFS(D687&lt;=40000,"1. Up to 40K",D687&lt;=60000,"2. 40-60K",D687&lt;=80000,"3. 60-80K",TRUE,"4. Over 80K")</f>
        <v>2. 40-60K</v>
      </c>
    </row>
    <row r="688" spans="1:16"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c r="O688">
        <f t="shared" si="10"/>
        <v>1</v>
      </c>
      <c r="P688" t="str" cm="1">
        <f t="array" ref="P688">_xlfn.IFS(D688&lt;=40000,"1. Up to 40K",D688&lt;=60000,"2. 40-60K",D688&lt;=80000,"3. 60-80K",TRUE,"4. Over 80K")</f>
        <v>1. Up to 40K</v>
      </c>
    </row>
    <row r="689" spans="1:16"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c r="O689">
        <f t="shared" si="10"/>
        <v>0</v>
      </c>
      <c r="P689" t="str" cm="1">
        <f t="array" ref="P689">_xlfn.IFS(D689&lt;=40000,"1. Up to 40K",D689&lt;=60000,"2. 40-60K",D689&lt;=80000,"3. 60-80K",TRUE,"4. Over 80K")</f>
        <v>1. Up to 40K</v>
      </c>
    </row>
    <row r="690" spans="1:16"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c r="O690">
        <f t="shared" si="10"/>
        <v>0</v>
      </c>
      <c r="P690" t="str" cm="1">
        <f t="array" ref="P690">_xlfn.IFS(D690&lt;=40000,"1. Up to 40K",D690&lt;=60000,"2. 40-60K",D690&lt;=80000,"3. 60-80K",TRUE,"4. Over 80K")</f>
        <v>2. 40-60K</v>
      </c>
    </row>
    <row r="691" spans="1:16"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c r="O691">
        <f t="shared" si="10"/>
        <v>0</v>
      </c>
      <c r="P691" t="str" cm="1">
        <f t="array" ref="P691">_xlfn.IFS(D691&lt;=40000,"1. Up to 40K",D691&lt;=60000,"2. 40-60K",D691&lt;=80000,"3. 60-80K",TRUE,"4. Over 80K")</f>
        <v>1. Up to 40K</v>
      </c>
    </row>
    <row r="692" spans="1:16"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c r="O692">
        <f t="shared" si="10"/>
        <v>0</v>
      </c>
      <c r="P692" t="str" cm="1">
        <f t="array" ref="P692">_xlfn.IFS(D692&lt;=40000,"1. Up to 40K",D692&lt;=60000,"2. 40-60K",D692&lt;=80000,"3. 60-80K",TRUE,"4. Over 80K")</f>
        <v>4. Over 80K</v>
      </c>
    </row>
    <row r="693" spans="1:16"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c r="O693">
        <f t="shared" si="10"/>
        <v>1</v>
      </c>
      <c r="P693" t="str" cm="1">
        <f t="array" ref="P693">_xlfn.IFS(D693&lt;=40000,"1. Up to 40K",D693&lt;=60000,"2. 40-60K",D693&lt;=80000,"3. 60-80K",TRUE,"4. Over 80K")</f>
        <v>2. 40-60K</v>
      </c>
    </row>
    <row r="694" spans="1:16"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c r="O694">
        <f t="shared" si="10"/>
        <v>1</v>
      </c>
      <c r="P694" t="str" cm="1">
        <f t="array" ref="P694">_xlfn.IFS(D694&lt;=40000,"1. Up to 40K",D694&lt;=60000,"2. 40-60K",D694&lt;=80000,"3. 60-80K",TRUE,"4. Over 80K")</f>
        <v>3. 60-80K</v>
      </c>
    </row>
    <row r="695" spans="1:16"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c r="O695">
        <f t="shared" si="10"/>
        <v>1</v>
      </c>
      <c r="P695" t="str" cm="1">
        <f t="array" ref="P695">_xlfn.IFS(D695&lt;=40000,"1. Up to 40K",D695&lt;=60000,"2. 40-60K",D695&lt;=80000,"3. 60-80K",TRUE,"4. Over 80K")</f>
        <v>2. 40-60K</v>
      </c>
    </row>
    <row r="696" spans="1:16"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c r="O696">
        <f t="shared" si="10"/>
        <v>1</v>
      </c>
      <c r="P696" t="str" cm="1">
        <f t="array" ref="P696">_xlfn.IFS(D696&lt;=40000,"1. Up to 40K",D696&lt;=60000,"2. 40-60K",D696&lt;=80000,"3. 60-80K",TRUE,"4. Over 80K")</f>
        <v>3. 60-80K</v>
      </c>
    </row>
    <row r="697" spans="1:16"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c r="O697">
        <f t="shared" si="10"/>
        <v>0</v>
      </c>
      <c r="P697" t="str" cm="1">
        <f t="array" ref="P697">_xlfn.IFS(D697&lt;=40000,"1. Up to 40K",D697&lt;=60000,"2. 40-60K",D697&lt;=80000,"3. 60-80K",TRUE,"4. Over 80K")</f>
        <v>3. 60-80K</v>
      </c>
    </row>
    <row r="698" spans="1:16"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c r="O698">
        <f t="shared" si="10"/>
        <v>0</v>
      </c>
      <c r="P698" t="str" cm="1">
        <f t="array" ref="P698">_xlfn.IFS(D698&lt;=40000,"1. Up to 40K",D698&lt;=60000,"2. 40-60K",D698&lt;=80000,"3. 60-80K",TRUE,"4. Over 80K")</f>
        <v>2. 40-60K</v>
      </c>
    </row>
    <row r="699" spans="1:16"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c r="O699">
        <f t="shared" si="10"/>
        <v>0</v>
      </c>
      <c r="P699" t="str" cm="1">
        <f t="array" ref="P699">_xlfn.IFS(D699&lt;=40000,"1. Up to 40K",D699&lt;=60000,"2. 40-60K",D699&lt;=80000,"3. 60-80K",TRUE,"4. Over 80K")</f>
        <v>1. Up to 40K</v>
      </c>
    </row>
    <row r="700" spans="1:16"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c r="O700">
        <f t="shared" si="10"/>
        <v>0</v>
      </c>
      <c r="P700" t="str" cm="1">
        <f t="array" ref="P700">_xlfn.IFS(D700&lt;=40000,"1. Up to 40K",D700&lt;=60000,"2. 40-60K",D700&lt;=80000,"3. 60-80K",TRUE,"4. Over 80K")</f>
        <v>1. Up to 40K</v>
      </c>
    </row>
    <row r="701" spans="1:16"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c r="O701">
        <f t="shared" si="10"/>
        <v>1</v>
      </c>
      <c r="P701" t="str" cm="1">
        <f t="array" ref="P701">_xlfn.IFS(D701&lt;=40000,"1. Up to 40K",D701&lt;=60000,"2. 40-60K",D701&lt;=80000,"3. 60-80K",TRUE,"4. Over 80K")</f>
        <v>4. Over 80K</v>
      </c>
    </row>
    <row r="702" spans="1:16"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c r="O702">
        <f t="shared" si="10"/>
        <v>0</v>
      </c>
      <c r="P702" t="str" cm="1">
        <f t="array" ref="P702">_xlfn.IFS(D702&lt;=40000,"1. Up to 40K",D702&lt;=60000,"2. 40-60K",D702&lt;=80000,"3. 60-80K",TRUE,"4. Over 80K")</f>
        <v>3. 60-80K</v>
      </c>
    </row>
    <row r="703" spans="1:16"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c r="O703">
        <f t="shared" si="10"/>
        <v>0</v>
      </c>
      <c r="P703" t="str" cm="1">
        <f t="array" ref="P703">_xlfn.IFS(D703&lt;=40000,"1. Up to 40K",D703&lt;=60000,"2. 40-60K",D703&lt;=80000,"3. 60-80K",TRUE,"4. Over 80K")</f>
        <v>1. Up to 40K</v>
      </c>
    </row>
    <row r="704" spans="1:16"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c r="O704">
        <f t="shared" si="10"/>
        <v>1</v>
      </c>
      <c r="P704" t="str" cm="1">
        <f t="array" ref="P704">_xlfn.IFS(D704&lt;=40000,"1. Up to 40K",D704&lt;=60000,"2. 40-60K",D704&lt;=80000,"3. 60-80K",TRUE,"4. Over 80K")</f>
        <v>4. Over 80K</v>
      </c>
    </row>
    <row r="705" spans="1:16"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c r="O705">
        <f t="shared" si="10"/>
        <v>0</v>
      </c>
      <c r="P705" t="str" cm="1">
        <f t="array" ref="P705">_xlfn.IFS(D705&lt;=40000,"1. Up to 40K",D705&lt;=60000,"2. 40-60K",D705&lt;=80000,"3. 60-80K",TRUE,"4. Over 80K")</f>
        <v>2. 40-60K</v>
      </c>
    </row>
    <row r="706" spans="1:16"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c r="O706">
        <f t="shared" si="10"/>
        <v>1</v>
      </c>
      <c r="P706" t="str" cm="1">
        <f t="array" ref="P706">_xlfn.IFS(D706&lt;=40000,"1. Up to 40K",D706&lt;=60000,"2. 40-60K",D706&lt;=80000,"3. 60-80K",TRUE,"4. Over 80K")</f>
        <v>1. Up to 40K</v>
      </c>
    </row>
    <row r="707" spans="1:16" x14ac:dyDescent="0.25">
      <c r="A707">
        <v>11199</v>
      </c>
      <c r="B707" t="s">
        <v>50</v>
      </c>
      <c r="C707" t="s">
        <v>52</v>
      </c>
      <c r="D707" s="1">
        <v>70000</v>
      </c>
      <c r="E707">
        <v>4</v>
      </c>
      <c r="F707" t="s">
        <v>13</v>
      </c>
      <c r="G707" t="s">
        <v>28</v>
      </c>
      <c r="H707" t="s">
        <v>15</v>
      </c>
      <c r="I707">
        <v>1</v>
      </c>
      <c r="J707" t="s">
        <v>72</v>
      </c>
      <c r="K707" t="s">
        <v>32</v>
      </c>
      <c r="L707">
        <v>59</v>
      </c>
      <c r="M707" t="str" cm="1">
        <f t="array" ref="M707">_xlfn.IFS(L707&lt;31, "Young Adult", L707&lt;=55, "Middle Age", L707&gt;55, "Old")</f>
        <v>Old</v>
      </c>
      <c r="N707" t="s">
        <v>18</v>
      </c>
      <c r="O707">
        <f t="shared" ref="O707:O770" si="11">IF(N707="Yes",1,0)</f>
        <v>0</v>
      </c>
      <c r="P707" t="str" cm="1">
        <f t="array" ref="P707">_xlfn.IFS(D707&lt;=40000,"1. Up to 40K",D707&lt;=60000,"2. 40-60K",D707&lt;=80000,"3. 60-80K",TRUE,"4. Over 80K")</f>
        <v>3. 60-80K</v>
      </c>
    </row>
    <row r="708" spans="1:16"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c r="O708">
        <f t="shared" si="11"/>
        <v>1</v>
      </c>
      <c r="P708" t="str" cm="1">
        <f t="array" ref="P708">_xlfn.IFS(D708&lt;=40000,"1. Up to 40K",D708&lt;=60000,"2. 40-60K",D708&lt;=80000,"3. 60-80K",TRUE,"4. Over 80K")</f>
        <v>2. 40-60K</v>
      </c>
    </row>
    <row r="709" spans="1:16"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c r="O709">
        <f t="shared" si="11"/>
        <v>1</v>
      </c>
      <c r="P709" t="str" cm="1">
        <f t="array" ref="P709">_xlfn.IFS(D709&lt;=40000,"1. Up to 40K",D709&lt;=60000,"2. 40-60K",D709&lt;=80000,"3. 60-80K",TRUE,"4. Over 80K")</f>
        <v>3. 60-80K</v>
      </c>
    </row>
    <row r="710" spans="1:16" x14ac:dyDescent="0.25">
      <c r="A710">
        <v>18069</v>
      </c>
      <c r="B710" t="s">
        <v>50</v>
      </c>
      <c r="C710" t="s">
        <v>53</v>
      </c>
      <c r="D710" s="1">
        <v>70000</v>
      </c>
      <c r="E710">
        <v>5</v>
      </c>
      <c r="F710" t="s">
        <v>13</v>
      </c>
      <c r="G710" t="s">
        <v>28</v>
      </c>
      <c r="H710" t="s">
        <v>15</v>
      </c>
      <c r="I710">
        <v>4</v>
      </c>
      <c r="J710" t="s">
        <v>72</v>
      </c>
      <c r="K710" t="s">
        <v>32</v>
      </c>
      <c r="L710">
        <v>60</v>
      </c>
      <c r="M710" t="str" cm="1">
        <f t="array" ref="M710">_xlfn.IFS(L710&lt;31, "Young Adult", L710&lt;=55, "Middle Age", L710&gt;55, "Old")</f>
        <v>Old</v>
      </c>
      <c r="N710" t="s">
        <v>18</v>
      </c>
      <c r="O710">
        <f t="shared" si="11"/>
        <v>0</v>
      </c>
      <c r="P710" t="str" cm="1">
        <f t="array" ref="P710">_xlfn.IFS(D710&lt;=40000,"1. Up to 40K",D710&lt;=60000,"2. 40-60K",D710&lt;=80000,"3. 60-80K",TRUE,"4. Over 80K")</f>
        <v>3. 60-80K</v>
      </c>
    </row>
    <row r="711" spans="1:16" x14ac:dyDescent="0.25">
      <c r="A711">
        <v>23712</v>
      </c>
      <c r="B711" t="s">
        <v>51</v>
      </c>
      <c r="C711" t="s">
        <v>52</v>
      </c>
      <c r="D711" s="1">
        <v>70000</v>
      </c>
      <c r="E711">
        <v>2</v>
      </c>
      <c r="F711" t="s">
        <v>13</v>
      </c>
      <c r="G711" t="s">
        <v>28</v>
      </c>
      <c r="H711" t="s">
        <v>15</v>
      </c>
      <c r="I711">
        <v>1</v>
      </c>
      <c r="J711" t="s">
        <v>72</v>
      </c>
      <c r="K711" t="s">
        <v>32</v>
      </c>
      <c r="L711">
        <v>59</v>
      </c>
      <c r="M711" t="str" cm="1">
        <f t="array" ref="M711">_xlfn.IFS(L711&lt;31, "Young Adult", L711&lt;=55, "Middle Age", L711&gt;55, "Old")</f>
        <v>Old</v>
      </c>
      <c r="N711" t="s">
        <v>18</v>
      </c>
      <c r="O711">
        <f t="shared" si="11"/>
        <v>0</v>
      </c>
      <c r="P711" t="str" cm="1">
        <f t="array" ref="P711">_xlfn.IFS(D711&lt;=40000,"1. Up to 40K",D711&lt;=60000,"2. 40-60K",D711&lt;=80000,"3. 60-80K",TRUE,"4. Over 80K")</f>
        <v>3. 60-80K</v>
      </c>
    </row>
    <row r="712" spans="1:16"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c r="O712">
        <f t="shared" si="11"/>
        <v>1</v>
      </c>
      <c r="P712" t="str" cm="1">
        <f t="array" ref="P712">_xlfn.IFS(D712&lt;=40000,"1. Up to 40K",D712&lt;=60000,"2. 40-60K",D712&lt;=80000,"3. 60-80K",TRUE,"4. Over 80K")</f>
        <v>2. 40-60K</v>
      </c>
    </row>
    <row r="713" spans="1:16" x14ac:dyDescent="0.25">
      <c r="A713">
        <v>20518</v>
      </c>
      <c r="B713" t="s">
        <v>50</v>
      </c>
      <c r="C713" t="s">
        <v>52</v>
      </c>
      <c r="D713" s="1">
        <v>70000</v>
      </c>
      <c r="E713">
        <v>2</v>
      </c>
      <c r="F713" t="s">
        <v>19</v>
      </c>
      <c r="G713" t="s">
        <v>21</v>
      </c>
      <c r="H713" t="s">
        <v>15</v>
      </c>
      <c r="I713">
        <v>1</v>
      </c>
      <c r="J713" t="s">
        <v>72</v>
      </c>
      <c r="K713" t="s">
        <v>32</v>
      </c>
      <c r="L713">
        <v>58</v>
      </c>
      <c r="M713" t="str" cm="1">
        <f t="array" ref="M713">_xlfn.IFS(L713&lt;31, "Young Adult", L713&lt;=55, "Middle Age", L713&gt;55, "Old")</f>
        <v>Old</v>
      </c>
      <c r="N713" t="s">
        <v>18</v>
      </c>
      <c r="O713">
        <f t="shared" si="11"/>
        <v>0</v>
      </c>
      <c r="P713" t="str" cm="1">
        <f t="array" ref="P713">_xlfn.IFS(D713&lt;=40000,"1. Up to 40K",D713&lt;=60000,"2. 40-60K",D713&lt;=80000,"3. 60-80K",TRUE,"4. Over 80K")</f>
        <v>3. 60-80K</v>
      </c>
    </row>
    <row r="714" spans="1:16"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c r="O714">
        <f t="shared" si="11"/>
        <v>0</v>
      </c>
      <c r="P714" t="str" cm="1">
        <f t="array" ref="P714">_xlfn.IFS(D714&lt;=40000,"1. Up to 40K",D714&lt;=60000,"2. 40-60K",D714&lt;=80000,"3. 60-80K",TRUE,"4. Over 80K")</f>
        <v>1. Up to 40K</v>
      </c>
    </row>
    <row r="715" spans="1:16"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c r="O715">
        <f t="shared" si="11"/>
        <v>0</v>
      </c>
      <c r="P715" t="str" cm="1">
        <f t="array" ref="P715">_xlfn.IFS(D715&lt;=40000,"1. Up to 40K",D715&lt;=60000,"2. 40-60K",D715&lt;=80000,"3. 60-80K",TRUE,"4. Over 80K")</f>
        <v>3. 60-80K</v>
      </c>
    </row>
    <row r="716" spans="1:16"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c r="O716">
        <f t="shared" si="11"/>
        <v>1</v>
      </c>
      <c r="P716" t="str" cm="1">
        <f t="array" ref="P716">_xlfn.IFS(D716&lt;=40000,"1. Up to 40K",D716&lt;=60000,"2. 40-60K",D716&lt;=80000,"3. 60-80K",TRUE,"4. Over 80K")</f>
        <v>1. Up to 40K</v>
      </c>
    </row>
    <row r="717" spans="1:16"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c r="O717">
        <f t="shared" si="11"/>
        <v>1</v>
      </c>
      <c r="P717" t="str" cm="1">
        <f t="array" ref="P717">_xlfn.IFS(D717&lt;=40000,"1. Up to 40K",D717&lt;=60000,"2. 40-60K",D717&lt;=80000,"3. 60-80K",TRUE,"4. Over 80K")</f>
        <v>2. 40-60K</v>
      </c>
    </row>
    <row r="718" spans="1:16"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c r="O718">
        <f t="shared" si="11"/>
        <v>0</v>
      </c>
      <c r="P718" t="str" cm="1">
        <f t="array" ref="P718">_xlfn.IFS(D718&lt;=40000,"1. Up to 40K",D718&lt;=60000,"2. 40-60K",D718&lt;=80000,"3. 60-80K",TRUE,"4. Over 80K")</f>
        <v>3. 60-80K</v>
      </c>
    </row>
    <row r="719" spans="1:16"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c r="O719">
        <f t="shared" si="11"/>
        <v>1</v>
      </c>
      <c r="P719" t="str" cm="1">
        <f t="array" ref="P719">_xlfn.IFS(D719&lt;=40000,"1. Up to 40K",D719&lt;=60000,"2. 40-60K",D719&lt;=80000,"3. 60-80K",TRUE,"4. Over 80K")</f>
        <v>4. Over 80K</v>
      </c>
    </row>
    <row r="720" spans="1:16"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c r="O720">
        <f t="shared" si="11"/>
        <v>1</v>
      </c>
      <c r="P720" t="str" cm="1">
        <f t="array" ref="P720">_xlfn.IFS(D720&lt;=40000,"1. Up to 40K",D720&lt;=60000,"2. 40-60K",D720&lt;=80000,"3. 60-80K",TRUE,"4. Over 80K")</f>
        <v>3. 60-80K</v>
      </c>
    </row>
    <row r="721" spans="1:16"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c r="O721">
        <f t="shared" si="11"/>
        <v>0</v>
      </c>
      <c r="P721" t="str" cm="1">
        <f t="array" ref="P721">_xlfn.IFS(D721&lt;=40000,"1. Up to 40K",D721&lt;=60000,"2. 40-60K",D721&lt;=80000,"3. 60-80K",TRUE,"4. Over 80K")</f>
        <v>3. 60-80K</v>
      </c>
    </row>
    <row r="722" spans="1:16"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c r="O722">
        <f t="shared" si="11"/>
        <v>1</v>
      </c>
      <c r="P722" t="str" cm="1">
        <f t="array" ref="P722">_xlfn.IFS(D722&lt;=40000,"1. Up to 40K",D722&lt;=60000,"2. 40-60K",D722&lt;=80000,"3. 60-80K",TRUE,"4. Over 80K")</f>
        <v>1. Up to 40K</v>
      </c>
    </row>
    <row r="723" spans="1:16"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c r="O723">
        <f t="shared" si="11"/>
        <v>1</v>
      </c>
      <c r="P723" t="str" cm="1">
        <f t="array" ref="P723">_xlfn.IFS(D723&lt;=40000,"1. Up to 40K",D723&lt;=60000,"2. 40-60K",D723&lt;=80000,"3. 60-80K",TRUE,"4. Over 80K")</f>
        <v>4. Over 80K</v>
      </c>
    </row>
    <row r="724" spans="1:16"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c r="O724">
        <f t="shared" si="11"/>
        <v>0</v>
      </c>
      <c r="P724" t="str" cm="1">
        <f t="array" ref="P724">_xlfn.IFS(D724&lt;=40000,"1. Up to 40K",D724&lt;=60000,"2. 40-60K",D724&lt;=80000,"3. 60-80K",TRUE,"4. Over 80K")</f>
        <v>3. 60-80K</v>
      </c>
    </row>
    <row r="725" spans="1:16"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c r="O725">
        <f t="shared" si="11"/>
        <v>0</v>
      </c>
      <c r="P725" t="str" cm="1">
        <f t="array" ref="P725">_xlfn.IFS(D725&lt;=40000,"1. Up to 40K",D725&lt;=60000,"2. 40-60K",D725&lt;=80000,"3. 60-80K",TRUE,"4. Over 80K")</f>
        <v>3. 60-80K</v>
      </c>
    </row>
    <row r="726" spans="1:16"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c r="O726">
        <f t="shared" si="11"/>
        <v>0</v>
      </c>
      <c r="P726" t="str" cm="1">
        <f t="array" ref="P726">_xlfn.IFS(D726&lt;=40000,"1. Up to 40K",D726&lt;=60000,"2. 40-60K",D726&lt;=80000,"3. 60-80K",TRUE,"4. Over 80K")</f>
        <v>1. Up to 40K</v>
      </c>
    </row>
    <row r="727" spans="1:16"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c r="O727">
        <f t="shared" si="11"/>
        <v>1</v>
      </c>
      <c r="P727" t="str" cm="1">
        <f t="array" ref="P727">_xlfn.IFS(D727&lt;=40000,"1. Up to 40K",D727&lt;=60000,"2. 40-60K",D727&lt;=80000,"3. 60-80K",TRUE,"4. Over 80K")</f>
        <v>4. Over 80K</v>
      </c>
    </row>
    <row r="728" spans="1:16"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c r="O728">
        <f t="shared" si="11"/>
        <v>0</v>
      </c>
      <c r="P728" t="str" cm="1">
        <f t="array" ref="P728">_xlfn.IFS(D728&lt;=40000,"1. Up to 40K",D728&lt;=60000,"2. 40-60K",D728&lt;=80000,"3. 60-80K",TRUE,"4. Over 80K")</f>
        <v>1. Up to 40K</v>
      </c>
    </row>
    <row r="729" spans="1:16"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c r="O729">
        <f t="shared" si="11"/>
        <v>1</v>
      </c>
      <c r="P729" t="str" cm="1">
        <f t="array" ref="P729">_xlfn.IFS(D729&lt;=40000,"1. Up to 40K",D729&lt;=60000,"2. 40-60K",D729&lt;=80000,"3. 60-80K",TRUE,"4. Over 80K")</f>
        <v>3. 60-80K</v>
      </c>
    </row>
    <row r="730" spans="1:16"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c r="O730">
        <f t="shared" si="11"/>
        <v>0</v>
      </c>
      <c r="P730" t="str" cm="1">
        <f t="array" ref="P730">_xlfn.IFS(D730&lt;=40000,"1. Up to 40K",D730&lt;=60000,"2. 40-60K",D730&lt;=80000,"3. 60-80K",TRUE,"4. Over 80K")</f>
        <v>1. Up to 40K</v>
      </c>
    </row>
    <row r="731" spans="1:16"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c r="O731">
        <f t="shared" si="11"/>
        <v>1</v>
      </c>
      <c r="P731" t="str" cm="1">
        <f t="array" ref="P731">_xlfn.IFS(D731&lt;=40000,"1. Up to 40K",D731&lt;=60000,"2. 40-60K",D731&lt;=80000,"3. 60-80K",TRUE,"4. Over 80K")</f>
        <v>2. 40-60K</v>
      </c>
    </row>
    <row r="732" spans="1:16"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c r="O732">
        <f t="shared" si="11"/>
        <v>1</v>
      </c>
      <c r="P732" t="str" cm="1">
        <f t="array" ref="P732">_xlfn.IFS(D732&lt;=40000,"1. Up to 40K",D732&lt;=60000,"2. 40-60K",D732&lt;=80000,"3. 60-80K",TRUE,"4. Over 80K")</f>
        <v>2. 40-60K</v>
      </c>
    </row>
    <row r="733" spans="1:16"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c r="O733">
        <f t="shared" si="11"/>
        <v>1</v>
      </c>
      <c r="P733" t="str" cm="1">
        <f t="array" ref="P733">_xlfn.IFS(D733&lt;=40000,"1. Up to 40K",D733&lt;=60000,"2. 40-60K",D733&lt;=80000,"3. 60-80K",TRUE,"4. Over 80K")</f>
        <v>2. 40-60K</v>
      </c>
    </row>
    <row r="734" spans="1:16"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c r="O734">
        <f t="shared" si="11"/>
        <v>1</v>
      </c>
      <c r="P734" t="str" cm="1">
        <f t="array" ref="P734">_xlfn.IFS(D734&lt;=40000,"1. Up to 40K",D734&lt;=60000,"2. 40-60K",D734&lt;=80000,"3. 60-80K",TRUE,"4. Over 80K")</f>
        <v>2. 40-60K</v>
      </c>
    </row>
    <row r="735" spans="1:16"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c r="O735">
        <f t="shared" si="11"/>
        <v>0</v>
      </c>
      <c r="P735" t="str" cm="1">
        <f t="array" ref="P735">_xlfn.IFS(D735&lt;=40000,"1. Up to 40K",D735&lt;=60000,"2. 40-60K",D735&lt;=80000,"3. 60-80K",TRUE,"4. Over 80K")</f>
        <v>4. Over 80K</v>
      </c>
    </row>
    <row r="736" spans="1:16"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c r="O736">
        <f t="shared" si="11"/>
        <v>1</v>
      </c>
      <c r="P736" t="str" cm="1">
        <f t="array" ref="P736">_xlfn.IFS(D736&lt;=40000,"1. Up to 40K",D736&lt;=60000,"2. 40-60K",D736&lt;=80000,"3. 60-80K",TRUE,"4. Over 80K")</f>
        <v>4. Over 80K</v>
      </c>
    </row>
    <row r="737" spans="1:16"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c r="O737">
        <f t="shared" si="11"/>
        <v>0</v>
      </c>
      <c r="P737" t="str" cm="1">
        <f t="array" ref="P737">_xlfn.IFS(D737&lt;=40000,"1. Up to 40K",D737&lt;=60000,"2. 40-60K",D737&lt;=80000,"3. 60-80K",TRUE,"4. Over 80K")</f>
        <v>1. Up to 40K</v>
      </c>
    </row>
    <row r="738" spans="1:16"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c r="O738">
        <f t="shared" si="11"/>
        <v>0</v>
      </c>
      <c r="P738" t="str" cm="1">
        <f t="array" ref="P738">_xlfn.IFS(D738&lt;=40000,"1. Up to 40K",D738&lt;=60000,"2. 40-60K",D738&lt;=80000,"3. 60-80K",TRUE,"4. Over 80K")</f>
        <v>1. Up to 40K</v>
      </c>
    </row>
    <row r="739" spans="1:16"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c r="O739">
        <f t="shared" si="11"/>
        <v>0</v>
      </c>
      <c r="P739" t="str" cm="1">
        <f t="array" ref="P739">_xlfn.IFS(D739&lt;=40000,"1. Up to 40K",D739&lt;=60000,"2. 40-60K",D739&lt;=80000,"3. 60-80K",TRUE,"4. Over 80K")</f>
        <v>3. 60-80K</v>
      </c>
    </row>
    <row r="740" spans="1:16"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c r="O740">
        <f t="shared" si="11"/>
        <v>1</v>
      </c>
      <c r="P740" t="str" cm="1">
        <f t="array" ref="P740">_xlfn.IFS(D740&lt;=40000,"1. Up to 40K",D740&lt;=60000,"2. 40-60K",D740&lt;=80000,"3. 60-80K",TRUE,"4. Over 80K")</f>
        <v>1. Up to 40K</v>
      </c>
    </row>
    <row r="741" spans="1:16" x14ac:dyDescent="0.25">
      <c r="A741">
        <v>11225</v>
      </c>
      <c r="B741" t="s">
        <v>50</v>
      </c>
      <c r="C741" t="s">
        <v>52</v>
      </c>
      <c r="D741" s="1">
        <v>60000</v>
      </c>
      <c r="E741">
        <v>2</v>
      </c>
      <c r="F741" t="s">
        <v>19</v>
      </c>
      <c r="G741" t="s">
        <v>21</v>
      </c>
      <c r="H741" t="s">
        <v>15</v>
      </c>
      <c r="I741">
        <v>1</v>
      </c>
      <c r="J741" t="s">
        <v>72</v>
      </c>
      <c r="K741" t="s">
        <v>32</v>
      </c>
      <c r="L741">
        <v>55</v>
      </c>
      <c r="M741" t="str" cm="1">
        <f t="array" ref="M741">_xlfn.IFS(L741&lt;31, "Young Adult", L741&lt;=55, "Middle Age", L741&gt;55, "Old")</f>
        <v>Middle Age</v>
      </c>
      <c r="N741" t="s">
        <v>18</v>
      </c>
      <c r="O741">
        <f t="shared" si="11"/>
        <v>0</v>
      </c>
      <c r="P741" t="str" cm="1">
        <f t="array" ref="P741">_xlfn.IFS(D741&lt;=40000,"1. Up to 40K",D741&lt;=60000,"2. 40-60K",D741&lt;=80000,"3. 60-80K",TRUE,"4. Over 80K")</f>
        <v>2. 40-60K</v>
      </c>
    </row>
    <row r="742" spans="1:16"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c r="O742">
        <f t="shared" si="11"/>
        <v>0</v>
      </c>
      <c r="P742" t="str" cm="1">
        <f t="array" ref="P742">_xlfn.IFS(D742&lt;=40000,"1. Up to 40K",D742&lt;=60000,"2. 40-60K",D742&lt;=80000,"3. 60-80K",TRUE,"4. Over 80K")</f>
        <v>1. Up to 40K</v>
      </c>
    </row>
    <row r="743" spans="1:16"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c r="O743">
        <f t="shared" si="11"/>
        <v>1</v>
      </c>
      <c r="P743" t="str" cm="1">
        <f t="array" ref="P743">_xlfn.IFS(D743&lt;=40000,"1. Up to 40K",D743&lt;=60000,"2. 40-60K",D743&lt;=80000,"3. 60-80K",TRUE,"4. Over 80K")</f>
        <v>1. Up to 40K</v>
      </c>
    </row>
    <row r="744" spans="1:16"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c r="O744">
        <f t="shared" si="11"/>
        <v>0</v>
      </c>
      <c r="P744" t="str" cm="1">
        <f t="array" ref="P744">_xlfn.IFS(D744&lt;=40000,"1. Up to 40K",D744&lt;=60000,"2. 40-60K",D744&lt;=80000,"3. 60-80K",TRUE,"4. Over 80K")</f>
        <v>1. Up to 40K</v>
      </c>
    </row>
    <row r="745" spans="1:16"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c r="O745">
        <f t="shared" si="11"/>
        <v>0</v>
      </c>
      <c r="P745" t="str" cm="1">
        <f t="array" ref="P745">_xlfn.IFS(D745&lt;=40000,"1. Up to 40K",D745&lt;=60000,"2. 40-60K",D745&lt;=80000,"3. 60-80K",TRUE,"4. Over 80K")</f>
        <v>4. Over 80K</v>
      </c>
    </row>
    <row r="746" spans="1:16" x14ac:dyDescent="0.25">
      <c r="A746">
        <v>20535</v>
      </c>
      <c r="B746" t="s">
        <v>50</v>
      </c>
      <c r="C746" t="s">
        <v>52</v>
      </c>
      <c r="D746" s="1">
        <v>70000</v>
      </c>
      <c r="E746">
        <v>4</v>
      </c>
      <c r="F746" t="s">
        <v>19</v>
      </c>
      <c r="G746" t="s">
        <v>21</v>
      </c>
      <c r="H746" t="s">
        <v>15</v>
      </c>
      <c r="I746">
        <v>1</v>
      </c>
      <c r="J746" t="s">
        <v>72</v>
      </c>
      <c r="K746" t="s">
        <v>32</v>
      </c>
      <c r="L746">
        <v>56</v>
      </c>
      <c r="M746" t="str" cm="1">
        <f t="array" ref="M746">_xlfn.IFS(L746&lt;31, "Young Adult", L746&lt;=55, "Middle Age", L746&gt;55, "Old")</f>
        <v>Old</v>
      </c>
      <c r="N746" t="s">
        <v>18</v>
      </c>
      <c r="O746">
        <f t="shared" si="11"/>
        <v>0</v>
      </c>
      <c r="P746" t="str" cm="1">
        <f t="array" ref="P746">_xlfn.IFS(D746&lt;=40000,"1. Up to 40K",D746&lt;=60000,"2. 40-60K",D746&lt;=80000,"3. 60-80K",TRUE,"4. Over 80K")</f>
        <v>3. 60-80K</v>
      </c>
    </row>
    <row r="747" spans="1:16"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c r="O747">
        <f t="shared" si="11"/>
        <v>1</v>
      </c>
      <c r="P747" t="str" cm="1">
        <f t="array" ref="P747">_xlfn.IFS(D747&lt;=40000,"1. Up to 40K",D747&lt;=60000,"2. 40-60K",D747&lt;=80000,"3. 60-80K",TRUE,"4. Over 80K")</f>
        <v>2. 40-60K</v>
      </c>
    </row>
    <row r="748" spans="1:16" x14ac:dyDescent="0.25">
      <c r="A748">
        <v>28043</v>
      </c>
      <c r="B748" t="s">
        <v>50</v>
      </c>
      <c r="C748" t="s">
        <v>52</v>
      </c>
      <c r="D748" s="1">
        <v>60000</v>
      </c>
      <c r="E748">
        <v>2</v>
      </c>
      <c r="F748" t="s">
        <v>13</v>
      </c>
      <c r="G748" t="s">
        <v>28</v>
      </c>
      <c r="H748" t="s">
        <v>15</v>
      </c>
      <c r="I748">
        <v>0</v>
      </c>
      <c r="J748" t="s">
        <v>72</v>
      </c>
      <c r="K748" t="s">
        <v>32</v>
      </c>
      <c r="L748">
        <v>56</v>
      </c>
      <c r="M748" t="str" cm="1">
        <f t="array" ref="M748">_xlfn.IFS(L748&lt;31, "Young Adult", L748&lt;=55, "Middle Age", L748&gt;55, "Old")</f>
        <v>Old</v>
      </c>
      <c r="N748" t="s">
        <v>18</v>
      </c>
      <c r="O748">
        <f t="shared" si="11"/>
        <v>0</v>
      </c>
      <c r="P748" t="str" cm="1">
        <f t="array" ref="P748">_xlfn.IFS(D748&lt;=40000,"1. Up to 40K",D748&lt;=60000,"2. 40-60K",D748&lt;=80000,"3. 60-80K",TRUE,"4. Over 80K")</f>
        <v>2. 40-60K</v>
      </c>
    </row>
    <row r="749" spans="1:16"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c r="O749">
        <f t="shared" si="11"/>
        <v>0</v>
      </c>
      <c r="P749" t="str" cm="1">
        <f t="array" ref="P749">_xlfn.IFS(D749&lt;=40000,"1. Up to 40K",D749&lt;=60000,"2. 40-60K",D749&lt;=80000,"3. 60-80K",TRUE,"4. Over 80K")</f>
        <v>3. 60-80K</v>
      </c>
    </row>
    <row r="750" spans="1:16"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c r="O750">
        <f t="shared" si="11"/>
        <v>0</v>
      </c>
      <c r="P750" t="str" cm="1">
        <f t="array" ref="P750">_xlfn.IFS(D750&lt;=40000,"1. Up to 40K",D750&lt;=60000,"2. 40-60K",D750&lt;=80000,"3. 60-80K",TRUE,"4. Over 80K")</f>
        <v>4. Over 80K</v>
      </c>
    </row>
    <row r="751" spans="1:16"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c r="O751">
        <f t="shared" si="11"/>
        <v>0</v>
      </c>
      <c r="P751" t="str" cm="1">
        <f t="array" ref="P751">_xlfn.IFS(D751&lt;=40000,"1. Up to 40K",D751&lt;=60000,"2. 40-60K",D751&lt;=80000,"3. 60-80K",TRUE,"4. Over 80K")</f>
        <v>3. 60-80K</v>
      </c>
    </row>
    <row r="752" spans="1:16"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c r="O752">
        <f t="shared" si="11"/>
        <v>0</v>
      </c>
      <c r="P752" t="str" cm="1">
        <f t="array" ref="P752">_xlfn.IFS(D752&lt;=40000,"1. Up to 40K",D752&lt;=60000,"2. 40-60K",D752&lt;=80000,"3. 60-80K",TRUE,"4. Over 80K")</f>
        <v>1. Up to 40K</v>
      </c>
    </row>
    <row r="753" spans="1:16"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c r="O753">
        <f t="shared" si="11"/>
        <v>0</v>
      </c>
      <c r="P753" t="str" cm="1">
        <f t="array" ref="P753">_xlfn.IFS(D753&lt;=40000,"1. Up to 40K",D753&lt;=60000,"2. 40-60K",D753&lt;=80000,"3. 60-80K",TRUE,"4. Over 80K")</f>
        <v>2. 40-60K</v>
      </c>
    </row>
    <row r="754" spans="1:16"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c r="O754">
        <f t="shared" si="11"/>
        <v>0</v>
      </c>
      <c r="P754" t="str" cm="1">
        <f t="array" ref="P754">_xlfn.IFS(D754&lt;=40000,"1. Up to 40K",D754&lt;=60000,"2. 40-60K",D754&lt;=80000,"3. 60-80K",TRUE,"4. Over 80K")</f>
        <v>2. 40-60K</v>
      </c>
    </row>
    <row r="755" spans="1:16"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c r="O755">
        <f t="shared" si="11"/>
        <v>0</v>
      </c>
      <c r="P755" t="str" cm="1">
        <f t="array" ref="P755">_xlfn.IFS(D755&lt;=40000,"1. Up to 40K",D755&lt;=60000,"2. 40-60K",D755&lt;=80000,"3. 60-80K",TRUE,"4. Over 80K")</f>
        <v>1. Up to 40K</v>
      </c>
    </row>
    <row r="756" spans="1:16"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c r="O756">
        <f t="shared" si="11"/>
        <v>1</v>
      </c>
      <c r="P756" t="str" cm="1">
        <f t="array" ref="P756">_xlfn.IFS(D756&lt;=40000,"1. Up to 40K",D756&lt;=60000,"2. 40-60K",D756&lt;=80000,"3. 60-80K",TRUE,"4. Over 80K")</f>
        <v>1. Up to 40K</v>
      </c>
    </row>
    <row r="757" spans="1:16"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c r="O757">
        <f t="shared" si="11"/>
        <v>0</v>
      </c>
      <c r="P757" t="str" cm="1">
        <f t="array" ref="P757">_xlfn.IFS(D757&lt;=40000,"1. Up to 40K",D757&lt;=60000,"2. 40-60K",D757&lt;=80000,"3. 60-80K",TRUE,"4. Over 80K")</f>
        <v>2. 40-60K</v>
      </c>
    </row>
    <row r="758" spans="1:16"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c r="O758">
        <f t="shared" si="11"/>
        <v>1</v>
      </c>
      <c r="P758" t="str" cm="1">
        <f t="array" ref="P758">_xlfn.IFS(D758&lt;=40000,"1. Up to 40K",D758&lt;=60000,"2. 40-60K",D758&lt;=80000,"3. 60-80K",TRUE,"4. Over 80K")</f>
        <v>1. Up to 40K</v>
      </c>
    </row>
    <row r="759" spans="1:16"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c r="O759">
        <f t="shared" si="11"/>
        <v>1</v>
      </c>
      <c r="P759" t="str" cm="1">
        <f t="array" ref="P759">_xlfn.IFS(D759&lt;=40000,"1. Up to 40K",D759&lt;=60000,"2. 40-60K",D759&lt;=80000,"3. 60-80K",TRUE,"4. Over 80K")</f>
        <v>1. Up to 40K</v>
      </c>
    </row>
    <row r="760" spans="1:16"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c r="O760">
        <f t="shared" si="11"/>
        <v>0</v>
      </c>
      <c r="P760" t="str" cm="1">
        <f t="array" ref="P760">_xlfn.IFS(D760&lt;=40000,"1. Up to 40K",D760&lt;=60000,"2. 40-60K",D760&lt;=80000,"3. 60-80K",TRUE,"4. Over 80K")</f>
        <v>3. 60-80K</v>
      </c>
    </row>
    <row r="761" spans="1:16"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c r="O761">
        <f t="shared" si="11"/>
        <v>1</v>
      </c>
      <c r="P761" t="str" cm="1">
        <f t="array" ref="P761">_xlfn.IFS(D761&lt;=40000,"1. Up to 40K",D761&lt;=60000,"2. 40-60K",D761&lt;=80000,"3. 60-80K",TRUE,"4. Over 80K")</f>
        <v>2. 40-60K</v>
      </c>
    </row>
    <row r="762" spans="1:16"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c r="O762">
        <f t="shared" si="11"/>
        <v>0</v>
      </c>
      <c r="P762" t="str" cm="1">
        <f t="array" ref="P762">_xlfn.IFS(D762&lt;=40000,"1. Up to 40K",D762&lt;=60000,"2. 40-60K",D762&lt;=80000,"3. 60-80K",TRUE,"4. Over 80K")</f>
        <v>1. Up to 40K</v>
      </c>
    </row>
    <row r="763" spans="1:16" x14ac:dyDescent="0.25">
      <c r="A763">
        <v>13216</v>
      </c>
      <c r="B763" t="s">
        <v>50</v>
      </c>
      <c r="C763" t="s">
        <v>52</v>
      </c>
      <c r="D763" s="1">
        <v>60000</v>
      </c>
      <c r="E763">
        <v>5</v>
      </c>
      <c r="F763" t="s">
        <v>13</v>
      </c>
      <c r="G763" t="s">
        <v>28</v>
      </c>
      <c r="H763" t="s">
        <v>15</v>
      </c>
      <c r="I763">
        <v>3</v>
      </c>
      <c r="J763" t="s">
        <v>72</v>
      </c>
      <c r="K763" t="s">
        <v>32</v>
      </c>
      <c r="L763">
        <v>59</v>
      </c>
      <c r="M763" t="str" cm="1">
        <f t="array" ref="M763">_xlfn.IFS(L763&lt;31, "Young Adult", L763&lt;=55, "Middle Age", L763&gt;55, "Old")</f>
        <v>Old</v>
      </c>
      <c r="N763" t="s">
        <v>18</v>
      </c>
      <c r="O763">
        <f t="shared" si="11"/>
        <v>0</v>
      </c>
      <c r="P763" t="str" cm="1">
        <f t="array" ref="P763">_xlfn.IFS(D763&lt;=40000,"1. Up to 40K",D763&lt;=60000,"2. 40-60K",D763&lt;=80000,"3. 60-80K",TRUE,"4. Over 80K")</f>
        <v>2. 40-60K</v>
      </c>
    </row>
    <row r="764" spans="1:16"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c r="O764">
        <f t="shared" si="11"/>
        <v>1</v>
      </c>
      <c r="P764" t="str" cm="1">
        <f t="array" ref="P764">_xlfn.IFS(D764&lt;=40000,"1. Up to 40K",D764&lt;=60000,"2. 40-60K",D764&lt;=80000,"3. 60-80K",TRUE,"4. Over 80K")</f>
        <v>2. 40-60K</v>
      </c>
    </row>
    <row r="765" spans="1:16"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c r="O765">
        <f t="shared" si="11"/>
        <v>1</v>
      </c>
      <c r="P765" t="str" cm="1">
        <f t="array" ref="P765">_xlfn.IFS(D765&lt;=40000,"1. Up to 40K",D765&lt;=60000,"2. 40-60K",D765&lt;=80000,"3. 60-80K",TRUE,"4. Over 80K")</f>
        <v>2. 40-60K</v>
      </c>
    </row>
    <row r="766" spans="1:16"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c r="O766">
        <f t="shared" si="11"/>
        <v>0</v>
      </c>
      <c r="P766" t="str" cm="1">
        <f t="array" ref="P766">_xlfn.IFS(D766&lt;=40000,"1. Up to 40K",D766&lt;=60000,"2. 40-60K",D766&lt;=80000,"3. 60-80K",TRUE,"4. Over 80K")</f>
        <v>2. 40-60K</v>
      </c>
    </row>
    <row r="767" spans="1:16"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c r="O767">
        <f t="shared" si="11"/>
        <v>1</v>
      </c>
      <c r="P767" t="str" cm="1">
        <f t="array" ref="P767">_xlfn.IFS(D767&lt;=40000,"1. Up to 40K",D767&lt;=60000,"2. 40-60K",D767&lt;=80000,"3. 60-80K",TRUE,"4. Over 80K")</f>
        <v>3. 60-80K</v>
      </c>
    </row>
    <row r="768" spans="1:16" x14ac:dyDescent="0.25">
      <c r="A768">
        <v>14608</v>
      </c>
      <c r="B768" t="s">
        <v>50</v>
      </c>
      <c r="C768" t="s">
        <v>53</v>
      </c>
      <c r="D768" s="1">
        <v>50000</v>
      </c>
      <c r="E768">
        <v>4</v>
      </c>
      <c r="F768" t="s">
        <v>13</v>
      </c>
      <c r="G768" t="s">
        <v>14</v>
      </c>
      <c r="H768" t="s">
        <v>15</v>
      </c>
      <c r="I768">
        <v>3</v>
      </c>
      <c r="J768" t="s">
        <v>72</v>
      </c>
      <c r="K768" t="s">
        <v>32</v>
      </c>
      <c r="L768">
        <v>42</v>
      </c>
      <c r="M768" t="str" cm="1">
        <f t="array" ref="M768">_xlfn.IFS(L768&lt;31, "Young Adult", L768&lt;=55, "Middle Age", L768&gt;55, "Old")</f>
        <v>Middle Age</v>
      </c>
      <c r="N768" t="s">
        <v>18</v>
      </c>
      <c r="O768">
        <f t="shared" si="11"/>
        <v>0</v>
      </c>
      <c r="P768" t="str" cm="1">
        <f t="array" ref="P768">_xlfn.IFS(D768&lt;=40000,"1. Up to 40K",D768&lt;=60000,"2. 40-60K",D768&lt;=80000,"3. 60-80K",TRUE,"4. Over 80K")</f>
        <v>2. 40-60K</v>
      </c>
    </row>
    <row r="769" spans="1:16"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c r="O769">
        <f t="shared" si="11"/>
        <v>1</v>
      </c>
      <c r="P769" t="str" cm="1">
        <f t="array" ref="P769">_xlfn.IFS(D769&lt;=40000,"1. Up to 40K",D769&lt;=60000,"2. 40-60K",D769&lt;=80000,"3. 60-80K",TRUE,"4. Over 80K")</f>
        <v>2. 40-60K</v>
      </c>
    </row>
    <row r="770" spans="1:16"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c r="O770">
        <f t="shared" si="11"/>
        <v>0</v>
      </c>
      <c r="P770" t="str" cm="1">
        <f t="array" ref="P770">_xlfn.IFS(D770&lt;=40000,"1. Up to 40K",D770&lt;=60000,"2. 40-60K",D770&lt;=80000,"3. 60-80K",TRUE,"4. Over 80K")</f>
        <v>4. Over 80K</v>
      </c>
    </row>
    <row r="771" spans="1:16"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c r="O771">
        <f t="shared" ref="O771:O834" si="12">IF(N771="Yes",1,0)</f>
        <v>0</v>
      </c>
      <c r="P771" t="str" cm="1">
        <f t="array" ref="P771">_xlfn.IFS(D771&lt;=40000,"1. Up to 40K",D771&lt;=60000,"2. 40-60K",D771&lt;=80000,"3. 60-80K",TRUE,"4. Over 80K")</f>
        <v>4. Over 80K</v>
      </c>
    </row>
    <row r="772" spans="1:16"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c r="O772">
        <f t="shared" si="12"/>
        <v>0</v>
      </c>
      <c r="P772" t="str" cm="1">
        <f t="array" ref="P772">_xlfn.IFS(D772&lt;=40000,"1. Up to 40K",D772&lt;=60000,"2. 40-60K",D772&lt;=80000,"3. 60-80K",TRUE,"4. Over 80K")</f>
        <v>2. 40-60K</v>
      </c>
    </row>
    <row r="773" spans="1:16"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c r="O773">
        <f t="shared" si="12"/>
        <v>1</v>
      </c>
      <c r="P773" t="str" cm="1">
        <f t="array" ref="P773">_xlfn.IFS(D773&lt;=40000,"1. Up to 40K",D773&lt;=60000,"2. 40-60K",D773&lt;=80000,"3. 60-80K",TRUE,"4. Over 80K")</f>
        <v>3. 60-80K</v>
      </c>
    </row>
    <row r="774" spans="1:16"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c r="O774">
        <f t="shared" si="12"/>
        <v>1</v>
      </c>
      <c r="P774" t="str" cm="1">
        <f t="array" ref="P774">_xlfn.IFS(D774&lt;=40000,"1. Up to 40K",D774&lt;=60000,"2. 40-60K",D774&lt;=80000,"3. 60-80K",TRUE,"4. Over 80K")</f>
        <v>2. 40-60K</v>
      </c>
    </row>
    <row r="775" spans="1:16"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c r="O775">
        <f t="shared" si="12"/>
        <v>0</v>
      </c>
      <c r="P775" t="str" cm="1">
        <f t="array" ref="P775">_xlfn.IFS(D775&lt;=40000,"1. Up to 40K",D775&lt;=60000,"2. 40-60K",D775&lt;=80000,"3. 60-80K",TRUE,"4. Over 80K")</f>
        <v>2. 40-60K</v>
      </c>
    </row>
    <row r="776" spans="1:16"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c r="O776">
        <f t="shared" si="12"/>
        <v>1</v>
      </c>
      <c r="P776" t="str" cm="1">
        <f t="array" ref="P776">_xlfn.IFS(D776&lt;=40000,"1. Up to 40K",D776&lt;=60000,"2. 40-60K",D776&lt;=80000,"3. 60-80K",TRUE,"4. Over 80K")</f>
        <v>3. 60-80K</v>
      </c>
    </row>
    <row r="777" spans="1:16" x14ac:dyDescent="0.25">
      <c r="A777">
        <v>29030</v>
      </c>
      <c r="B777" t="s">
        <v>50</v>
      </c>
      <c r="C777" t="s">
        <v>53</v>
      </c>
      <c r="D777" s="1">
        <v>70000</v>
      </c>
      <c r="E777">
        <v>2</v>
      </c>
      <c r="F777" t="s">
        <v>29</v>
      </c>
      <c r="G777" t="s">
        <v>14</v>
      </c>
      <c r="H777" t="s">
        <v>15</v>
      </c>
      <c r="I777">
        <v>2</v>
      </c>
      <c r="J777" t="s">
        <v>72</v>
      </c>
      <c r="K777" t="s">
        <v>32</v>
      </c>
      <c r="L777">
        <v>54</v>
      </c>
      <c r="M777" t="str" cm="1">
        <f t="array" ref="M777">_xlfn.IFS(L777&lt;31, "Young Adult", L777&lt;=55, "Middle Age", L777&gt;55, "Old")</f>
        <v>Middle Age</v>
      </c>
      <c r="N777" t="s">
        <v>18</v>
      </c>
      <c r="O777">
        <f t="shared" si="12"/>
        <v>0</v>
      </c>
      <c r="P777" t="str" cm="1">
        <f t="array" ref="P777">_xlfn.IFS(D777&lt;=40000,"1. Up to 40K",D777&lt;=60000,"2. 40-60K",D777&lt;=80000,"3. 60-80K",TRUE,"4. Over 80K")</f>
        <v>3. 60-80K</v>
      </c>
    </row>
    <row r="778" spans="1:16"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c r="O778">
        <f t="shared" si="12"/>
        <v>1</v>
      </c>
      <c r="P778" t="str" cm="1">
        <f t="array" ref="P778">_xlfn.IFS(D778&lt;=40000,"1. Up to 40K",D778&lt;=60000,"2. 40-60K",D778&lt;=80000,"3. 60-80K",TRUE,"4. Over 80K")</f>
        <v>3. 60-80K</v>
      </c>
    </row>
    <row r="779" spans="1:16"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c r="O779">
        <f t="shared" si="12"/>
        <v>0</v>
      </c>
      <c r="P779" t="str" cm="1">
        <f t="array" ref="P779">_xlfn.IFS(D779&lt;=40000,"1. Up to 40K",D779&lt;=60000,"2. 40-60K",D779&lt;=80000,"3. 60-80K",TRUE,"4. Over 80K")</f>
        <v>1. Up to 40K</v>
      </c>
    </row>
    <row r="780" spans="1:16"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c r="O780">
        <f t="shared" si="12"/>
        <v>0</v>
      </c>
      <c r="P780" t="str" cm="1">
        <f t="array" ref="P780">_xlfn.IFS(D780&lt;=40000,"1. Up to 40K",D780&lt;=60000,"2. 40-60K",D780&lt;=80000,"3. 60-80K",TRUE,"4. Over 80K")</f>
        <v>4. Over 80K</v>
      </c>
    </row>
    <row r="781" spans="1:16"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c r="O781">
        <f t="shared" si="12"/>
        <v>1</v>
      </c>
      <c r="P781" t="str" cm="1">
        <f t="array" ref="P781">_xlfn.IFS(D781&lt;=40000,"1. Up to 40K",D781&lt;=60000,"2. 40-60K",D781&lt;=80000,"3. 60-80K",TRUE,"4. Over 80K")</f>
        <v>3. 60-80K</v>
      </c>
    </row>
    <row r="782" spans="1:16" x14ac:dyDescent="0.25">
      <c r="A782">
        <v>18105</v>
      </c>
      <c r="B782" t="s">
        <v>50</v>
      </c>
      <c r="C782" t="s">
        <v>52</v>
      </c>
      <c r="D782" s="1">
        <v>60000</v>
      </c>
      <c r="E782">
        <v>2</v>
      </c>
      <c r="F782" t="s">
        <v>19</v>
      </c>
      <c r="G782" t="s">
        <v>21</v>
      </c>
      <c r="H782" t="s">
        <v>15</v>
      </c>
      <c r="I782">
        <v>1</v>
      </c>
      <c r="J782" t="s">
        <v>72</v>
      </c>
      <c r="K782" t="s">
        <v>32</v>
      </c>
      <c r="L782">
        <v>55</v>
      </c>
      <c r="M782" t="str" cm="1">
        <f t="array" ref="M782">_xlfn.IFS(L782&lt;31, "Young Adult", L782&lt;=55, "Middle Age", L782&gt;55, "Old")</f>
        <v>Middle Age</v>
      </c>
      <c r="N782" t="s">
        <v>18</v>
      </c>
      <c r="O782">
        <f t="shared" si="12"/>
        <v>0</v>
      </c>
      <c r="P782" t="str" cm="1">
        <f t="array" ref="P782">_xlfn.IFS(D782&lt;=40000,"1. Up to 40K",D782&lt;=60000,"2. 40-60K",D782&lt;=80000,"3. 60-80K",TRUE,"4. Over 80K")</f>
        <v>2. 40-60K</v>
      </c>
    </row>
    <row r="783" spans="1:16"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c r="O783">
        <f t="shared" si="12"/>
        <v>0</v>
      </c>
      <c r="P783" t="str" cm="1">
        <f t="array" ref="P783">_xlfn.IFS(D783&lt;=40000,"1. Up to 40K",D783&lt;=60000,"2. 40-60K",D783&lt;=80000,"3. 60-80K",TRUE,"4. Over 80K")</f>
        <v>3. 60-80K</v>
      </c>
    </row>
    <row r="784" spans="1:16"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c r="O784">
        <f t="shared" si="12"/>
        <v>1</v>
      </c>
      <c r="P784" t="str" cm="1">
        <f t="array" ref="P784">_xlfn.IFS(D784&lt;=40000,"1. Up to 40K",D784&lt;=60000,"2. 40-60K",D784&lt;=80000,"3. 60-80K",TRUE,"4. Over 80K")</f>
        <v>3. 60-80K</v>
      </c>
    </row>
    <row r="785" spans="1:16"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c r="O785">
        <f t="shared" si="12"/>
        <v>0</v>
      </c>
      <c r="P785" t="str" cm="1">
        <f t="array" ref="P785">_xlfn.IFS(D785&lt;=40000,"1. Up to 40K",D785&lt;=60000,"2. 40-60K",D785&lt;=80000,"3. 60-80K",TRUE,"4. Over 80K")</f>
        <v>2. 40-60K</v>
      </c>
    </row>
    <row r="786" spans="1:16"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c r="O786">
        <f t="shared" si="12"/>
        <v>1</v>
      </c>
      <c r="P786" t="str" cm="1">
        <f t="array" ref="P786">_xlfn.IFS(D786&lt;=40000,"1. Up to 40K",D786&lt;=60000,"2. 40-60K",D786&lt;=80000,"3. 60-80K",TRUE,"4. Over 80K")</f>
        <v>1. Up to 40K</v>
      </c>
    </row>
    <row r="787" spans="1:16"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c r="O787">
        <f t="shared" si="12"/>
        <v>1</v>
      </c>
      <c r="P787" t="str" cm="1">
        <f t="array" ref="P787">_xlfn.IFS(D787&lt;=40000,"1. Up to 40K",D787&lt;=60000,"2. 40-60K",D787&lt;=80000,"3. 60-80K",TRUE,"4. Over 80K")</f>
        <v>1. Up to 40K</v>
      </c>
    </row>
    <row r="788" spans="1:16"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c r="O788">
        <f t="shared" si="12"/>
        <v>0</v>
      </c>
      <c r="P788" t="str" cm="1">
        <f t="array" ref="P788">_xlfn.IFS(D788&lt;=40000,"1. Up to 40K",D788&lt;=60000,"2. 40-60K",D788&lt;=80000,"3. 60-80K",TRUE,"4. Over 80K")</f>
        <v>2. 40-60K</v>
      </c>
    </row>
    <row r="789" spans="1:16"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c r="O789">
        <f t="shared" si="12"/>
        <v>1</v>
      </c>
      <c r="P789" t="str" cm="1">
        <f t="array" ref="P789">_xlfn.IFS(D789&lt;=40000,"1. Up to 40K",D789&lt;=60000,"2. 40-60K",D789&lt;=80000,"3. 60-80K",TRUE,"4. Over 80K")</f>
        <v>3. 60-80K</v>
      </c>
    </row>
    <row r="790" spans="1:16"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c r="O790">
        <f t="shared" si="12"/>
        <v>0</v>
      </c>
      <c r="P790" t="str" cm="1">
        <f t="array" ref="P790">_xlfn.IFS(D790&lt;=40000,"1. Up to 40K",D790&lt;=60000,"2. 40-60K",D790&lt;=80000,"3. 60-80K",TRUE,"4. Over 80K")</f>
        <v>1. Up to 40K</v>
      </c>
    </row>
    <row r="791" spans="1:16"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c r="O791">
        <f t="shared" si="12"/>
        <v>1</v>
      </c>
      <c r="P791" t="str" cm="1">
        <f t="array" ref="P791">_xlfn.IFS(D791&lt;=40000,"1. Up to 40K",D791&lt;=60000,"2. 40-60K",D791&lt;=80000,"3. 60-80K",TRUE,"4. Over 80K")</f>
        <v>2. 40-60K</v>
      </c>
    </row>
    <row r="792" spans="1:16"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c r="O792">
        <f t="shared" si="12"/>
        <v>0</v>
      </c>
      <c r="P792" t="str" cm="1">
        <f t="array" ref="P792">_xlfn.IFS(D792&lt;=40000,"1. Up to 40K",D792&lt;=60000,"2. 40-60K",D792&lt;=80000,"3. 60-80K",TRUE,"4. Over 80K")</f>
        <v>3. 60-80K</v>
      </c>
    </row>
    <row r="793" spans="1:16"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c r="O793">
        <f t="shared" si="12"/>
        <v>1</v>
      </c>
      <c r="P793" t="str" cm="1">
        <f t="array" ref="P793">_xlfn.IFS(D793&lt;=40000,"1. Up to 40K",D793&lt;=60000,"2. 40-60K",D793&lt;=80000,"3. 60-80K",TRUE,"4. Over 80K")</f>
        <v>1. Up to 40K</v>
      </c>
    </row>
    <row r="794" spans="1:16"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c r="O794">
        <f t="shared" si="12"/>
        <v>0</v>
      </c>
      <c r="P794" t="str" cm="1">
        <f t="array" ref="P794">_xlfn.IFS(D794&lt;=40000,"1. Up to 40K",D794&lt;=60000,"2. 40-60K",D794&lt;=80000,"3. 60-80K",TRUE,"4. Over 80K")</f>
        <v>1. Up to 40K</v>
      </c>
    </row>
    <row r="795" spans="1:16"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c r="O795">
        <f t="shared" si="12"/>
        <v>1</v>
      </c>
      <c r="P795" t="str" cm="1">
        <f t="array" ref="P795">_xlfn.IFS(D795&lt;=40000,"1. Up to 40K",D795&lt;=60000,"2. 40-60K",D795&lt;=80000,"3. 60-80K",TRUE,"4. Over 80K")</f>
        <v>1. Up to 40K</v>
      </c>
    </row>
    <row r="796" spans="1:16"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c r="O796">
        <f t="shared" si="12"/>
        <v>0</v>
      </c>
      <c r="P796" t="str" cm="1">
        <f t="array" ref="P796">_xlfn.IFS(D796&lt;=40000,"1. Up to 40K",D796&lt;=60000,"2. 40-60K",D796&lt;=80000,"3. 60-80K",TRUE,"4. Over 80K")</f>
        <v>2. 40-60K</v>
      </c>
    </row>
    <row r="797" spans="1:16"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c r="O797">
        <f t="shared" si="12"/>
        <v>0</v>
      </c>
      <c r="P797" t="str" cm="1">
        <f t="array" ref="P797">_xlfn.IFS(D797&lt;=40000,"1. Up to 40K",D797&lt;=60000,"2. 40-60K",D797&lt;=80000,"3. 60-80K",TRUE,"4. Over 80K")</f>
        <v>2. 40-60K</v>
      </c>
    </row>
    <row r="798" spans="1:16"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c r="O798">
        <f t="shared" si="12"/>
        <v>1</v>
      </c>
      <c r="P798" t="str" cm="1">
        <f t="array" ref="P798">_xlfn.IFS(D798&lt;=40000,"1. Up to 40K",D798&lt;=60000,"2. 40-60K",D798&lt;=80000,"3. 60-80K",TRUE,"4. Over 80K")</f>
        <v>3. 60-80K</v>
      </c>
    </row>
    <row r="799" spans="1:16"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c r="O799">
        <f t="shared" si="12"/>
        <v>1</v>
      </c>
      <c r="P799" t="str" cm="1">
        <f t="array" ref="P799">_xlfn.IFS(D799&lt;=40000,"1. Up to 40K",D799&lt;=60000,"2. 40-60K",D799&lt;=80000,"3. 60-80K",TRUE,"4. Over 80K")</f>
        <v>2. 40-60K</v>
      </c>
    </row>
    <row r="800" spans="1:16"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c r="O800">
        <f t="shared" si="12"/>
        <v>1</v>
      </c>
      <c r="P800" t="str" cm="1">
        <f t="array" ref="P800">_xlfn.IFS(D800&lt;=40000,"1. Up to 40K",D800&lt;=60000,"2. 40-60K",D800&lt;=80000,"3. 60-80K",TRUE,"4. Over 80K")</f>
        <v>1. Up to 40K</v>
      </c>
    </row>
    <row r="801" spans="1:16"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c r="O801">
        <f t="shared" si="12"/>
        <v>1</v>
      </c>
      <c r="P801" t="str" cm="1">
        <f t="array" ref="P801">_xlfn.IFS(D801&lt;=40000,"1. Up to 40K",D801&lt;=60000,"2. 40-60K",D801&lt;=80000,"3. 60-80K",TRUE,"4. Over 80K")</f>
        <v>2. 40-60K</v>
      </c>
    </row>
    <row r="802" spans="1:16"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c r="O802">
        <f t="shared" si="12"/>
        <v>1</v>
      </c>
      <c r="P802" t="str" cm="1">
        <f t="array" ref="P802">_xlfn.IFS(D802&lt;=40000,"1. Up to 40K",D802&lt;=60000,"2. 40-60K",D802&lt;=80000,"3. 60-80K",TRUE,"4. Over 80K")</f>
        <v>2. 40-60K</v>
      </c>
    </row>
    <row r="803" spans="1:16"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c r="O803">
        <f t="shared" si="12"/>
        <v>0</v>
      </c>
      <c r="P803" t="str" cm="1">
        <f t="array" ref="P803">_xlfn.IFS(D803&lt;=40000,"1. Up to 40K",D803&lt;=60000,"2. 40-60K",D803&lt;=80000,"3. 60-80K",TRUE,"4. Over 80K")</f>
        <v>3. 60-80K</v>
      </c>
    </row>
    <row r="804" spans="1:16"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c r="O804">
        <f t="shared" si="12"/>
        <v>0</v>
      </c>
      <c r="P804" t="str" cm="1">
        <f t="array" ref="P804">_xlfn.IFS(D804&lt;=40000,"1. Up to 40K",D804&lt;=60000,"2. 40-60K",D804&lt;=80000,"3. 60-80K",TRUE,"4. Over 80K")</f>
        <v>1. Up to 40K</v>
      </c>
    </row>
    <row r="805" spans="1:16"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c r="O805">
        <f t="shared" si="12"/>
        <v>1</v>
      </c>
      <c r="P805" t="str" cm="1">
        <f t="array" ref="P805">_xlfn.IFS(D805&lt;=40000,"1. Up to 40K",D805&lt;=60000,"2. 40-60K",D805&lt;=80000,"3. 60-80K",TRUE,"4. Over 80K")</f>
        <v>1. Up to 40K</v>
      </c>
    </row>
    <row r="806" spans="1:16"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c r="O806">
        <f t="shared" si="12"/>
        <v>1</v>
      </c>
      <c r="P806" t="str" cm="1">
        <f t="array" ref="P806">_xlfn.IFS(D806&lt;=40000,"1. Up to 40K",D806&lt;=60000,"2. 40-60K",D806&lt;=80000,"3. 60-80K",TRUE,"4. Over 80K")</f>
        <v>1. Up to 40K</v>
      </c>
    </row>
    <row r="807" spans="1:16"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c r="O807">
        <f t="shared" si="12"/>
        <v>0</v>
      </c>
      <c r="P807" t="str" cm="1">
        <f t="array" ref="P807">_xlfn.IFS(D807&lt;=40000,"1. Up to 40K",D807&lt;=60000,"2. 40-60K",D807&lt;=80000,"3. 60-80K",TRUE,"4. Over 80K")</f>
        <v>1. Up to 40K</v>
      </c>
    </row>
    <row r="808" spans="1:16"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c r="O808">
        <f t="shared" si="12"/>
        <v>0</v>
      </c>
      <c r="P808" t="str" cm="1">
        <f t="array" ref="P808">_xlfn.IFS(D808&lt;=40000,"1. Up to 40K",D808&lt;=60000,"2. 40-60K",D808&lt;=80000,"3. 60-80K",TRUE,"4. Over 80K")</f>
        <v>1. Up to 40K</v>
      </c>
    </row>
    <row r="809" spans="1:16"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c r="O809">
        <f t="shared" si="12"/>
        <v>1</v>
      </c>
      <c r="P809" t="str" cm="1">
        <f t="array" ref="P809">_xlfn.IFS(D809&lt;=40000,"1. Up to 40K",D809&lt;=60000,"2. 40-60K",D809&lt;=80000,"3. 60-80K",TRUE,"4. Over 80K")</f>
        <v>2. 40-60K</v>
      </c>
    </row>
    <row r="810" spans="1:16"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c r="O810">
        <f t="shared" si="12"/>
        <v>1</v>
      </c>
      <c r="P810" t="str" cm="1">
        <f t="array" ref="P810">_xlfn.IFS(D810&lt;=40000,"1. Up to 40K",D810&lt;=60000,"2. 40-60K",D810&lt;=80000,"3. 60-80K",TRUE,"4. Over 80K")</f>
        <v>1. Up to 40K</v>
      </c>
    </row>
    <row r="811" spans="1:16"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c r="O811">
        <f t="shared" si="12"/>
        <v>0</v>
      </c>
      <c r="P811" t="str" cm="1">
        <f t="array" ref="P811">_xlfn.IFS(D811&lt;=40000,"1. Up to 40K",D811&lt;=60000,"2. 40-60K",D811&lt;=80000,"3. 60-80K",TRUE,"4. Over 80K")</f>
        <v>1. Up to 40K</v>
      </c>
    </row>
    <row r="812" spans="1:16"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c r="O812">
        <f t="shared" si="12"/>
        <v>1</v>
      </c>
      <c r="P812" t="str" cm="1">
        <f t="array" ref="P812">_xlfn.IFS(D812&lt;=40000,"1. Up to 40K",D812&lt;=60000,"2. 40-60K",D812&lt;=80000,"3. 60-80K",TRUE,"4. Over 80K")</f>
        <v>3. 60-80K</v>
      </c>
    </row>
    <row r="813" spans="1:16"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c r="O813">
        <f t="shared" si="12"/>
        <v>0</v>
      </c>
      <c r="P813" t="str" cm="1">
        <f t="array" ref="P813">_xlfn.IFS(D813&lt;=40000,"1. Up to 40K",D813&lt;=60000,"2. 40-60K",D813&lt;=80000,"3. 60-80K",TRUE,"4. Over 80K")</f>
        <v>2. 40-60K</v>
      </c>
    </row>
    <row r="814" spans="1:16" x14ac:dyDescent="0.25">
      <c r="A814">
        <v>15749</v>
      </c>
      <c r="B814" t="s">
        <v>51</v>
      </c>
      <c r="C814" t="s">
        <v>52</v>
      </c>
      <c r="D814" s="1">
        <v>70000</v>
      </c>
      <c r="E814">
        <v>4</v>
      </c>
      <c r="F814" t="s">
        <v>13</v>
      </c>
      <c r="G814" t="s">
        <v>28</v>
      </c>
      <c r="H814" t="s">
        <v>15</v>
      </c>
      <c r="I814">
        <v>2</v>
      </c>
      <c r="J814" t="s">
        <v>72</v>
      </c>
      <c r="K814" t="s">
        <v>32</v>
      </c>
      <c r="L814">
        <v>61</v>
      </c>
      <c r="M814" t="str" cm="1">
        <f t="array" ref="M814">_xlfn.IFS(L814&lt;31, "Young Adult", L814&lt;=55, "Middle Age", L814&gt;55, "Old")</f>
        <v>Old</v>
      </c>
      <c r="N814" t="s">
        <v>18</v>
      </c>
      <c r="O814">
        <f t="shared" si="12"/>
        <v>0</v>
      </c>
      <c r="P814" t="str" cm="1">
        <f t="array" ref="P814">_xlfn.IFS(D814&lt;=40000,"1. Up to 40K",D814&lt;=60000,"2. 40-60K",D814&lt;=80000,"3. 60-80K",TRUE,"4. Over 80K")</f>
        <v>3. 60-80K</v>
      </c>
    </row>
    <row r="815" spans="1:16" x14ac:dyDescent="0.25">
      <c r="A815">
        <v>25899</v>
      </c>
      <c r="B815" t="s">
        <v>50</v>
      </c>
      <c r="C815" t="s">
        <v>52</v>
      </c>
      <c r="D815" s="1">
        <v>70000</v>
      </c>
      <c r="E815">
        <v>2</v>
      </c>
      <c r="F815" t="s">
        <v>27</v>
      </c>
      <c r="G815" t="s">
        <v>21</v>
      </c>
      <c r="H815" t="s">
        <v>15</v>
      </c>
      <c r="I815">
        <v>2</v>
      </c>
      <c r="J815" t="s">
        <v>72</v>
      </c>
      <c r="K815" t="s">
        <v>32</v>
      </c>
      <c r="L815">
        <v>53</v>
      </c>
      <c r="M815" t="str" cm="1">
        <f t="array" ref="M815">_xlfn.IFS(L815&lt;31, "Young Adult", L815&lt;=55, "Middle Age", L815&gt;55, "Old")</f>
        <v>Middle Age</v>
      </c>
      <c r="N815" t="s">
        <v>18</v>
      </c>
      <c r="O815">
        <f t="shared" si="12"/>
        <v>0</v>
      </c>
      <c r="P815" t="str" cm="1">
        <f t="array" ref="P815">_xlfn.IFS(D815&lt;=40000,"1. Up to 40K",D815&lt;=60000,"2. 40-60K",D815&lt;=80000,"3. 60-80K",TRUE,"4. Over 80K")</f>
        <v>3. 60-80K</v>
      </c>
    </row>
    <row r="816" spans="1:16"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c r="O816">
        <f t="shared" si="12"/>
        <v>1</v>
      </c>
      <c r="P816" t="str" cm="1">
        <f t="array" ref="P816">_xlfn.IFS(D816&lt;=40000,"1. Up to 40K",D816&lt;=60000,"2. 40-60K",D816&lt;=80000,"3. 60-80K",TRUE,"4. Over 80K")</f>
        <v>3. 60-80K</v>
      </c>
    </row>
    <row r="817" spans="1:16"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c r="O817">
        <f t="shared" si="12"/>
        <v>0</v>
      </c>
      <c r="P817" t="str" cm="1">
        <f t="array" ref="P817">_xlfn.IFS(D817&lt;=40000,"1. Up to 40K",D817&lt;=60000,"2. 40-60K",D817&lt;=80000,"3. 60-80K",TRUE,"4. Over 80K")</f>
        <v>1. Up to 40K</v>
      </c>
    </row>
    <row r="818" spans="1:16"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c r="O818">
        <f t="shared" si="12"/>
        <v>1</v>
      </c>
      <c r="P818" t="str" cm="1">
        <f t="array" ref="P818">_xlfn.IFS(D818&lt;=40000,"1. Up to 40K",D818&lt;=60000,"2. 40-60K",D818&lt;=80000,"3. 60-80K",TRUE,"4. Over 80K")</f>
        <v>2. 40-60K</v>
      </c>
    </row>
    <row r="819" spans="1:16"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c r="O819">
        <f t="shared" si="12"/>
        <v>1</v>
      </c>
      <c r="P819" t="str" cm="1">
        <f t="array" ref="P819">_xlfn.IFS(D819&lt;=40000,"1. Up to 40K",D819&lt;=60000,"2. 40-60K",D819&lt;=80000,"3. 60-80K",TRUE,"4. Over 80K")</f>
        <v>2. 40-60K</v>
      </c>
    </row>
    <row r="820" spans="1:16"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c r="O820">
        <f t="shared" si="12"/>
        <v>0</v>
      </c>
      <c r="P820" t="str" cm="1">
        <f t="array" ref="P820">_xlfn.IFS(D820&lt;=40000,"1. Up to 40K",D820&lt;=60000,"2. 40-60K",D820&lt;=80000,"3. 60-80K",TRUE,"4. Over 80K")</f>
        <v>1. Up to 40K</v>
      </c>
    </row>
    <row r="821" spans="1:16"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c r="O821">
        <f t="shared" si="12"/>
        <v>0</v>
      </c>
      <c r="P821" t="str" cm="1">
        <f t="array" ref="P821">_xlfn.IFS(D821&lt;=40000,"1. Up to 40K",D821&lt;=60000,"2. 40-60K",D821&lt;=80000,"3. 60-80K",TRUE,"4. Over 80K")</f>
        <v>1. Up to 40K</v>
      </c>
    </row>
    <row r="822" spans="1:16"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c r="O822">
        <f t="shared" si="12"/>
        <v>0</v>
      </c>
      <c r="P822" t="str" cm="1">
        <f t="array" ref="P822">_xlfn.IFS(D822&lt;=40000,"1. Up to 40K",D822&lt;=60000,"2. 40-60K",D822&lt;=80000,"3. 60-80K",TRUE,"4. Over 80K")</f>
        <v>4. Over 80K</v>
      </c>
    </row>
    <row r="823" spans="1:16"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c r="O823">
        <f t="shared" si="12"/>
        <v>1</v>
      </c>
      <c r="P823" t="str" cm="1">
        <f t="array" ref="P823">_xlfn.IFS(D823&lt;=40000,"1. Up to 40K",D823&lt;=60000,"2. 40-60K",D823&lt;=80000,"3. 60-80K",TRUE,"4. Over 80K")</f>
        <v>2. 40-60K</v>
      </c>
    </row>
    <row r="824" spans="1:16"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c r="O824">
        <f t="shared" si="12"/>
        <v>0</v>
      </c>
      <c r="P824" t="str" cm="1">
        <f t="array" ref="P824">_xlfn.IFS(D824&lt;=40000,"1. Up to 40K",D824&lt;=60000,"2. 40-60K",D824&lt;=80000,"3. 60-80K",TRUE,"4. Over 80K")</f>
        <v>1. Up to 40K</v>
      </c>
    </row>
    <row r="825" spans="1:16"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c r="O825">
        <f t="shared" si="12"/>
        <v>1</v>
      </c>
      <c r="P825" t="str" cm="1">
        <f t="array" ref="P825">_xlfn.IFS(D825&lt;=40000,"1. Up to 40K",D825&lt;=60000,"2. 40-60K",D825&lt;=80000,"3. 60-80K",TRUE,"4. Over 80K")</f>
        <v>3. 60-80K</v>
      </c>
    </row>
    <row r="826" spans="1:16"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c r="O826">
        <f t="shared" si="12"/>
        <v>1</v>
      </c>
      <c r="P826" t="str" cm="1">
        <f t="array" ref="P826">_xlfn.IFS(D826&lt;=40000,"1. Up to 40K",D826&lt;=60000,"2. 40-60K",D826&lt;=80000,"3. 60-80K",TRUE,"4. Over 80K")</f>
        <v>4. Over 80K</v>
      </c>
    </row>
    <row r="827" spans="1:16"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c r="O827">
        <f t="shared" si="12"/>
        <v>1</v>
      </c>
      <c r="P827" t="str" cm="1">
        <f t="array" ref="P827">_xlfn.IFS(D827&lt;=40000,"1. Up to 40K",D827&lt;=60000,"2. 40-60K",D827&lt;=80000,"3. 60-80K",TRUE,"4. Over 80K")</f>
        <v>3. 60-80K</v>
      </c>
    </row>
    <row r="828" spans="1:16"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c r="O828">
        <f t="shared" si="12"/>
        <v>1</v>
      </c>
      <c r="P828" t="str" cm="1">
        <f t="array" ref="P828">_xlfn.IFS(D828&lt;=40000,"1. Up to 40K",D828&lt;=60000,"2. 40-60K",D828&lt;=80000,"3. 60-80K",TRUE,"4. Over 80K")</f>
        <v>3. 60-80K</v>
      </c>
    </row>
    <row r="829" spans="1:16"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c r="O829">
        <f t="shared" si="12"/>
        <v>1</v>
      </c>
      <c r="P829" t="str" cm="1">
        <f t="array" ref="P829">_xlfn.IFS(D829&lt;=40000,"1. Up to 40K",D829&lt;=60000,"2. 40-60K",D829&lt;=80000,"3. 60-80K",TRUE,"4. Over 80K")</f>
        <v>3. 60-80K</v>
      </c>
    </row>
    <row r="830" spans="1:16"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c r="O830">
        <f t="shared" si="12"/>
        <v>0</v>
      </c>
      <c r="P830" t="str" cm="1">
        <f t="array" ref="P830">_xlfn.IFS(D830&lt;=40000,"1. Up to 40K",D830&lt;=60000,"2. 40-60K",D830&lt;=80000,"3. 60-80K",TRUE,"4. Over 80K")</f>
        <v>1. Up to 40K</v>
      </c>
    </row>
    <row r="831" spans="1:16"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c r="O831">
        <f t="shared" si="12"/>
        <v>0</v>
      </c>
      <c r="P831" t="str" cm="1">
        <f t="array" ref="P831">_xlfn.IFS(D831&lt;=40000,"1. Up to 40K",D831&lt;=60000,"2. 40-60K",D831&lt;=80000,"3. 60-80K",TRUE,"4. Over 80K")</f>
        <v>4. Over 80K</v>
      </c>
    </row>
    <row r="832" spans="1:16"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c r="O832">
        <f t="shared" si="12"/>
        <v>0</v>
      </c>
      <c r="P832" t="str" cm="1">
        <f t="array" ref="P832">_xlfn.IFS(D832&lt;=40000,"1. Up to 40K",D832&lt;=60000,"2. 40-60K",D832&lt;=80000,"3. 60-80K",TRUE,"4. Over 80K")</f>
        <v>2. 40-60K</v>
      </c>
    </row>
    <row r="833" spans="1:16"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c r="O833">
        <f t="shared" si="12"/>
        <v>1</v>
      </c>
      <c r="P833" t="str" cm="1">
        <f t="array" ref="P833">_xlfn.IFS(D833&lt;=40000,"1. Up to 40K",D833&lt;=60000,"2. 40-60K",D833&lt;=80000,"3. 60-80K",TRUE,"4. Over 80K")</f>
        <v>3. 60-80K</v>
      </c>
    </row>
    <row r="834" spans="1:16"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c r="O834">
        <f t="shared" si="12"/>
        <v>0</v>
      </c>
      <c r="P834" t="str" cm="1">
        <f t="array" ref="P834">_xlfn.IFS(D834&lt;=40000,"1. Up to 40K",D834&lt;=60000,"2. 40-60K",D834&lt;=80000,"3. 60-80K",TRUE,"4. Over 80K")</f>
        <v>2. 40-60K</v>
      </c>
    </row>
    <row r="835" spans="1:16"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c r="O835">
        <f t="shared" ref="O835:O898" si="13">IF(N835="Yes",1,0)</f>
        <v>1</v>
      </c>
      <c r="P835" t="str" cm="1">
        <f t="array" ref="P835">_xlfn.IFS(D835&lt;=40000,"1. Up to 40K",D835&lt;=60000,"2. 40-60K",D835&lt;=80000,"3. 60-80K",TRUE,"4. Over 80K")</f>
        <v>3. 60-80K</v>
      </c>
    </row>
    <row r="836" spans="1:16"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c r="O836">
        <f t="shared" si="13"/>
        <v>1</v>
      </c>
      <c r="P836" t="str" cm="1">
        <f t="array" ref="P836">_xlfn.IFS(D836&lt;=40000,"1. Up to 40K",D836&lt;=60000,"2. 40-60K",D836&lt;=80000,"3. 60-80K",TRUE,"4. Over 80K")</f>
        <v>3. 60-80K</v>
      </c>
    </row>
    <row r="837" spans="1:16"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c r="O837">
        <f t="shared" si="13"/>
        <v>1</v>
      </c>
      <c r="P837" t="str" cm="1">
        <f t="array" ref="P837">_xlfn.IFS(D837&lt;=40000,"1. Up to 40K",D837&lt;=60000,"2. 40-60K",D837&lt;=80000,"3. 60-80K",TRUE,"4. Over 80K")</f>
        <v>2. 40-60K</v>
      </c>
    </row>
    <row r="838" spans="1:16"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c r="O838">
        <f t="shared" si="13"/>
        <v>0</v>
      </c>
      <c r="P838" t="str" cm="1">
        <f t="array" ref="P838">_xlfn.IFS(D838&lt;=40000,"1. Up to 40K",D838&lt;=60000,"2. 40-60K",D838&lt;=80000,"3. 60-80K",TRUE,"4. Over 80K")</f>
        <v>1. Up to 40K</v>
      </c>
    </row>
    <row r="839" spans="1:16"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c r="O839">
        <f t="shared" si="13"/>
        <v>0</v>
      </c>
      <c r="P839" t="str" cm="1">
        <f t="array" ref="P839">_xlfn.IFS(D839&lt;=40000,"1. Up to 40K",D839&lt;=60000,"2. 40-60K",D839&lt;=80000,"3. 60-80K",TRUE,"4. Over 80K")</f>
        <v>2. 40-60K</v>
      </c>
    </row>
    <row r="840" spans="1:16"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c r="O840">
        <f t="shared" si="13"/>
        <v>1</v>
      </c>
      <c r="P840" t="str" cm="1">
        <f t="array" ref="P840">_xlfn.IFS(D840&lt;=40000,"1. Up to 40K",D840&lt;=60000,"2. 40-60K",D840&lt;=80000,"3. 60-80K",TRUE,"4. Over 80K")</f>
        <v>3. 60-80K</v>
      </c>
    </row>
    <row r="841" spans="1:16"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c r="O841">
        <f t="shared" si="13"/>
        <v>1</v>
      </c>
      <c r="P841" t="str" cm="1">
        <f t="array" ref="P841">_xlfn.IFS(D841&lt;=40000,"1. Up to 40K",D841&lt;=60000,"2. 40-60K",D841&lt;=80000,"3. 60-80K",TRUE,"4. Over 80K")</f>
        <v>3. 60-80K</v>
      </c>
    </row>
    <row r="842" spans="1:16" x14ac:dyDescent="0.25">
      <c r="A842">
        <v>11233</v>
      </c>
      <c r="B842" t="s">
        <v>50</v>
      </c>
      <c r="C842" t="s">
        <v>53</v>
      </c>
      <c r="D842" s="1">
        <v>70000</v>
      </c>
      <c r="E842">
        <v>4</v>
      </c>
      <c r="F842" t="s">
        <v>19</v>
      </c>
      <c r="G842" t="s">
        <v>21</v>
      </c>
      <c r="H842" t="s">
        <v>15</v>
      </c>
      <c r="I842">
        <v>2</v>
      </c>
      <c r="J842" t="s">
        <v>72</v>
      </c>
      <c r="K842" t="s">
        <v>32</v>
      </c>
      <c r="L842">
        <v>53</v>
      </c>
      <c r="M842" t="str" cm="1">
        <f t="array" ref="M842">_xlfn.IFS(L842&lt;31, "Young Adult", L842&lt;=55, "Middle Age", L842&gt;55, "Old")</f>
        <v>Middle Age</v>
      </c>
      <c r="N842" t="s">
        <v>18</v>
      </c>
      <c r="O842">
        <f t="shared" si="13"/>
        <v>0</v>
      </c>
      <c r="P842" t="str" cm="1">
        <f t="array" ref="P842">_xlfn.IFS(D842&lt;=40000,"1. Up to 40K",D842&lt;=60000,"2. 40-60K",D842&lt;=80000,"3. 60-80K",TRUE,"4. Over 80K")</f>
        <v>3. 60-80K</v>
      </c>
    </row>
    <row r="843" spans="1:16"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c r="O843">
        <f t="shared" si="13"/>
        <v>0</v>
      </c>
      <c r="P843" t="str" cm="1">
        <f t="array" ref="P843">_xlfn.IFS(D843&lt;=40000,"1. Up to 40K",D843&lt;=60000,"2. 40-60K",D843&lt;=80000,"3. 60-80K",TRUE,"4. Over 80K")</f>
        <v>4. Over 80K</v>
      </c>
    </row>
    <row r="844" spans="1:16"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c r="O844">
        <f t="shared" si="13"/>
        <v>1</v>
      </c>
      <c r="P844" t="str" cm="1">
        <f t="array" ref="P844">_xlfn.IFS(D844&lt;=40000,"1. Up to 40K",D844&lt;=60000,"2. 40-60K",D844&lt;=80000,"3. 60-80K",TRUE,"4. Over 80K")</f>
        <v>2. 40-60K</v>
      </c>
    </row>
    <row r="845" spans="1:16"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c r="O845">
        <f t="shared" si="13"/>
        <v>0</v>
      </c>
      <c r="P845" t="str" cm="1">
        <f t="array" ref="P845">_xlfn.IFS(D845&lt;=40000,"1. Up to 40K",D845&lt;=60000,"2. 40-60K",D845&lt;=80000,"3. 60-80K",TRUE,"4. Over 80K")</f>
        <v>3. 60-80K</v>
      </c>
    </row>
    <row r="846" spans="1:16" x14ac:dyDescent="0.25">
      <c r="A846">
        <v>22743</v>
      </c>
      <c r="B846" t="s">
        <v>50</v>
      </c>
      <c r="C846" t="s">
        <v>52</v>
      </c>
      <c r="D846" s="1">
        <v>40000</v>
      </c>
      <c r="E846">
        <v>5</v>
      </c>
      <c r="F846" t="s">
        <v>27</v>
      </c>
      <c r="G846" t="s">
        <v>21</v>
      </c>
      <c r="H846" t="s">
        <v>15</v>
      </c>
      <c r="I846">
        <v>2</v>
      </c>
      <c r="J846" t="s">
        <v>72</v>
      </c>
      <c r="K846" t="s">
        <v>32</v>
      </c>
      <c r="L846">
        <v>60</v>
      </c>
      <c r="M846" t="str" cm="1">
        <f t="array" ref="M846">_xlfn.IFS(L846&lt;31, "Young Adult", L846&lt;=55, "Middle Age", L846&gt;55, "Old")</f>
        <v>Old</v>
      </c>
      <c r="N846" t="s">
        <v>18</v>
      </c>
      <c r="O846">
        <f t="shared" si="13"/>
        <v>0</v>
      </c>
      <c r="P846" t="str" cm="1">
        <f t="array" ref="P846">_xlfn.IFS(D846&lt;=40000,"1. Up to 40K",D846&lt;=60000,"2. 40-60K",D846&lt;=80000,"3. 60-80K",TRUE,"4. Over 80K")</f>
        <v>1. Up to 40K</v>
      </c>
    </row>
    <row r="847" spans="1:16"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c r="O847">
        <f t="shared" si="13"/>
        <v>0</v>
      </c>
      <c r="P847" t="str" cm="1">
        <f t="array" ref="P847">_xlfn.IFS(D847&lt;=40000,"1. Up to 40K",D847&lt;=60000,"2. 40-60K",D847&lt;=80000,"3. 60-80K",TRUE,"4. Over 80K")</f>
        <v>1. Up to 40K</v>
      </c>
    </row>
    <row r="848" spans="1:16"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c r="O848">
        <f t="shared" si="13"/>
        <v>0</v>
      </c>
      <c r="P848" t="str" cm="1">
        <f t="array" ref="P848">_xlfn.IFS(D848&lt;=40000,"1. Up to 40K",D848&lt;=60000,"2. 40-60K",D848&lt;=80000,"3. 60-80K",TRUE,"4. Over 80K")</f>
        <v>3. 60-80K</v>
      </c>
    </row>
    <row r="849" spans="1:16"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c r="O849">
        <f t="shared" si="13"/>
        <v>0</v>
      </c>
      <c r="P849" t="str" cm="1">
        <f t="array" ref="P849">_xlfn.IFS(D849&lt;=40000,"1. Up to 40K",D849&lt;=60000,"2. 40-60K",D849&lt;=80000,"3. 60-80K",TRUE,"4. Over 80K")</f>
        <v>1. Up to 40K</v>
      </c>
    </row>
    <row r="850" spans="1:16"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c r="O850">
        <f t="shared" si="13"/>
        <v>1</v>
      </c>
      <c r="P850" t="str" cm="1">
        <f t="array" ref="P850">_xlfn.IFS(D850&lt;=40000,"1. Up to 40K",D850&lt;=60000,"2. 40-60K",D850&lt;=80000,"3. 60-80K",TRUE,"4. Over 80K")</f>
        <v>4. Over 80K</v>
      </c>
    </row>
    <row r="851" spans="1:16"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c r="O851">
        <f t="shared" si="13"/>
        <v>0</v>
      </c>
      <c r="P851" t="str" cm="1">
        <f t="array" ref="P851">_xlfn.IFS(D851&lt;=40000,"1. Up to 40K",D851&lt;=60000,"2. 40-60K",D851&lt;=80000,"3. 60-80K",TRUE,"4. Over 80K")</f>
        <v>1. Up to 40K</v>
      </c>
    </row>
    <row r="852" spans="1:16"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c r="O852">
        <f t="shared" si="13"/>
        <v>0</v>
      </c>
      <c r="P852" t="str" cm="1">
        <f t="array" ref="P852">_xlfn.IFS(D852&lt;=40000,"1. Up to 40K",D852&lt;=60000,"2. 40-60K",D852&lt;=80000,"3. 60-80K",TRUE,"4. Over 80K")</f>
        <v>4. Over 80K</v>
      </c>
    </row>
    <row r="853" spans="1:16"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c r="O853">
        <f t="shared" si="13"/>
        <v>1</v>
      </c>
      <c r="P853" t="str" cm="1">
        <f t="array" ref="P853">_xlfn.IFS(D853&lt;=40000,"1. Up to 40K",D853&lt;=60000,"2. 40-60K",D853&lt;=80000,"3. 60-80K",TRUE,"4. Over 80K")</f>
        <v>2. 40-60K</v>
      </c>
    </row>
    <row r="854" spans="1:16"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c r="O854">
        <f t="shared" si="13"/>
        <v>1</v>
      </c>
      <c r="P854" t="str" cm="1">
        <f t="array" ref="P854">_xlfn.IFS(D854&lt;=40000,"1. Up to 40K",D854&lt;=60000,"2. 40-60K",D854&lt;=80000,"3. 60-80K",TRUE,"4. Over 80K")</f>
        <v>2. 40-60K</v>
      </c>
    </row>
    <row r="855" spans="1:16"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c r="O855">
        <f t="shared" si="13"/>
        <v>1</v>
      </c>
      <c r="P855" t="str" cm="1">
        <f t="array" ref="P855">_xlfn.IFS(D855&lt;=40000,"1. Up to 40K",D855&lt;=60000,"2. 40-60K",D855&lt;=80000,"3. 60-80K",TRUE,"4. Over 80K")</f>
        <v>2. 40-60K</v>
      </c>
    </row>
    <row r="856" spans="1:16"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c r="O856">
        <f t="shared" si="13"/>
        <v>0</v>
      </c>
      <c r="P856" t="str" cm="1">
        <f t="array" ref="P856">_xlfn.IFS(D856&lt;=40000,"1. Up to 40K",D856&lt;=60000,"2. 40-60K",D856&lt;=80000,"3. 60-80K",TRUE,"4. Over 80K")</f>
        <v>2. 40-60K</v>
      </c>
    </row>
    <row r="857" spans="1:16"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c r="O857">
        <f t="shared" si="13"/>
        <v>0</v>
      </c>
      <c r="P857" t="str" cm="1">
        <f t="array" ref="P857">_xlfn.IFS(D857&lt;=40000,"1. Up to 40K",D857&lt;=60000,"2. 40-60K",D857&lt;=80000,"3. 60-80K",TRUE,"4. Over 80K")</f>
        <v>1. Up to 40K</v>
      </c>
    </row>
    <row r="858" spans="1:16"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c r="O858">
        <f t="shared" si="13"/>
        <v>0</v>
      </c>
      <c r="P858" t="str" cm="1">
        <f t="array" ref="P858">_xlfn.IFS(D858&lt;=40000,"1. Up to 40K",D858&lt;=60000,"2. 40-60K",D858&lt;=80000,"3. 60-80K",TRUE,"4. Over 80K")</f>
        <v>1. Up to 40K</v>
      </c>
    </row>
    <row r="859" spans="1:16"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c r="O859">
        <f t="shared" si="13"/>
        <v>1</v>
      </c>
      <c r="P859" t="str" cm="1">
        <f t="array" ref="P859">_xlfn.IFS(D859&lt;=40000,"1. Up to 40K",D859&lt;=60000,"2. 40-60K",D859&lt;=80000,"3. 60-80K",TRUE,"4. Over 80K")</f>
        <v>2. 40-60K</v>
      </c>
    </row>
    <row r="860" spans="1:16"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c r="O860">
        <f t="shared" si="13"/>
        <v>0</v>
      </c>
      <c r="P860" t="str" cm="1">
        <f t="array" ref="P860">_xlfn.IFS(D860&lt;=40000,"1. Up to 40K",D860&lt;=60000,"2. 40-60K",D860&lt;=80000,"3. 60-80K",TRUE,"4. Over 80K")</f>
        <v>1. Up to 40K</v>
      </c>
    </row>
    <row r="861" spans="1:16"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c r="O861">
        <f t="shared" si="13"/>
        <v>0</v>
      </c>
      <c r="P861" t="str" cm="1">
        <f t="array" ref="P861">_xlfn.IFS(D861&lt;=40000,"1. Up to 40K",D861&lt;=60000,"2. 40-60K",D861&lt;=80000,"3. 60-80K",TRUE,"4. Over 80K")</f>
        <v>1. Up to 40K</v>
      </c>
    </row>
    <row r="862" spans="1:16"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c r="O862">
        <f t="shared" si="13"/>
        <v>0</v>
      </c>
      <c r="P862" t="str" cm="1">
        <f t="array" ref="P862">_xlfn.IFS(D862&lt;=40000,"1. Up to 40K",D862&lt;=60000,"2. 40-60K",D862&lt;=80000,"3. 60-80K",TRUE,"4. Over 80K")</f>
        <v>1. Up to 40K</v>
      </c>
    </row>
    <row r="863" spans="1:16"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c r="O863">
        <f t="shared" si="13"/>
        <v>1</v>
      </c>
      <c r="P863" t="str" cm="1">
        <f t="array" ref="P863">_xlfn.IFS(D863&lt;=40000,"1. Up to 40K",D863&lt;=60000,"2. 40-60K",D863&lt;=80000,"3. 60-80K",TRUE,"4. Over 80K")</f>
        <v>1. Up to 40K</v>
      </c>
    </row>
    <row r="864" spans="1:16"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c r="O864">
        <f t="shared" si="13"/>
        <v>1</v>
      </c>
      <c r="P864" t="str" cm="1">
        <f t="array" ref="P864">_xlfn.IFS(D864&lt;=40000,"1. Up to 40K",D864&lt;=60000,"2. 40-60K",D864&lt;=80000,"3. 60-80K",TRUE,"4. Over 80K")</f>
        <v>2. 40-60K</v>
      </c>
    </row>
    <row r="865" spans="1:16"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c r="O865">
        <f t="shared" si="13"/>
        <v>1</v>
      </c>
      <c r="P865" t="str" cm="1">
        <f t="array" ref="P865">_xlfn.IFS(D865&lt;=40000,"1. Up to 40K",D865&lt;=60000,"2. 40-60K",D865&lt;=80000,"3. 60-80K",TRUE,"4. Over 80K")</f>
        <v>3. 60-80K</v>
      </c>
    </row>
    <row r="866" spans="1:16"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c r="O866">
        <f t="shared" si="13"/>
        <v>0</v>
      </c>
      <c r="P866" t="str" cm="1">
        <f t="array" ref="P866">_xlfn.IFS(D866&lt;=40000,"1. Up to 40K",D866&lt;=60000,"2. 40-60K",D866&lt;=80000,"3. 60-80K",TRUE,"4. Over 80K")</f>
        <v>1. Up to 40K</v>
      </c>
    </row>
    <row r="867" spans="1:16"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c r="O867">
        <f t="shared" si="13"/>
        <v>1</v>
      </c>
      <c r="P867" t="str" cm="1">
        <f t="array" ref="P867">_xlfn.IFS(D867&lt;=40000,"1. Up to 40K",D867&lt;=60000,"2. 40-60K",D867&lt;=80000,"3. 60-80K",TRUE,"4. Over 80K")</f>
        <v>3. 60-80K</v>
      </c>
    </row>
    <row r="868" spans="1:16" x14ac:dyDescent="0.25">
      <c r="A868">
        <v>28052</v>
      </c>
      <c r="B868" t="s">
        <v>50</v>
      </c>
      <c r="C868" t="s">
        <v>53</v>
      </c>
      <c r="D868" s="1">
        <v>60000</v>
      </c>
      <c r="E868">
        <v>2</v>
      </c>
      <c r="F868" t="s">
        <v>27</v>
      </c>
      <c r="G868" t="s">
        <v>21</v>
      </c>
      <c r="H868" t="s">
        <v>15</v>
      </c>
      <c r="I868">
        <v>2</v>
      </c>
      <c r="J868" t="s">
        <v>72</v>
      </c>
      <c r="K868" t="s">
        <v>32</v>
      </c>
      <c r="L868">
        <v>55</v>
      </c>
      <c r="M868" t="str" cm="1">
        <f t="array" ref="M868">_xlfn.IFS(L868&lt;31, "Young Adult", L868&lt;=55, "Middle Age", L868&gt;55, "Old")</f>
        <v>Middle Age</v>
      </c>
      <c r="N868" t="s">
        <v>18</v>
      </c>
      <c r="O868">
        <f t="shared" si="13"/>
        <v>0</v>
      </c>
      <c r="P868" t="str" cm="1">
        <f t="array" ref="P868">_xlfn.IFS(D868&lt;=40000,"1. Up to 40K",D868&lt;=60000,"2. 40-60K",D868&lt;=80000,"3. 60-80K",TRUE,"4. Over 80K")</f>
        <v>2. 40-60K</v>
      </c>
    </row>
    <row r="869" spans="1:16"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c r="O869">
        <f t="shared" si="13"/>
        <v>0</v>
      </c>
      <c r="P869" t="str" cm="1">
        <f t="array" ref="P869">_xlfn.IFS(D869&lt;=40000,"1. Up to 40K",D869&lt;=60000,"2. 40-60K",D869&lt;=80000,"3. 60-80K",TRUE,"4. Over 80K")</f>
        <v>3. 60-80K</v>
      </c>
    </row>
    <row r="870" spans="1:16" x14ac:dyDescent="0.25">
      <c r="A870">
        <v>24955</v>
      </c>
      <c r="B870" t="s">
        <v>51</v>
      </c>
      <c r="C870" t="s">
        <v>53</v>
      </c>
      <c r="D870" s="1">
        <v>30000</v>
      </c>
      <c r="E870">
        <v>5</v>
      </c>
      <c r="F870" t="s">
        <v>29</v>
      </c>
      <c r="G870" t="s">
        <v>14</v>
      </c>
      <c r="H870" t="s">
        <v>15</v>
      </c>
      <c r="I870">
        <v>3</v>
      </c>
      <c r="J870" t="s">
        <v>72</v>
      </c>
      <c r="K870" t="s">
        <v>32</v>
      </c>
      <c r="L870">
        <v>60</v>
      </c>
      <c r="M870" t="str" cm="1">
        <f t="array" ref="M870">_xlfn.IFS(L870&lt;31, "Young Adult", L870&lt;=55, "Middle Age", L870&gt;55, "Old")</f>
        <v>Old</v>
      </c>
      <c r="N870" t="s">
        <v>15</v>
      </c>
      <c r="O870">
        <f t="shared" si="13"/>
        <v>1</v>
      </c>
      <c r="P870" t="str" cm="1">
        <f t="array" ref="P870">_xlfn.IFS(D870&lt;=40000,"1. Up to 40K",D870&lt;=60000,"2. 40-60K",D870&lt;=80000,"3. 60-80K",TRUE,"4. Over 80K")</f>
        <v>1. Up to 40K</v>
      </c>
    </row>
    <row r="871" spans="1:16"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c r="O871">
        <f t="shared" si="13"/>
        <v>0</v>
      </c>
      <c r="P871" t="str" cm="1">
        <f t="array" ref="P871">_xlfn.IFS(D871&lt;=40000,"1. Up to 40K",D871&lt;=60000,"2. 40-60K",D871&lt;=80000,"3. 60-80K",TRUE,"4. Over 80K")</f>
        <v>4. Over 80K</v>
      </c>
    </row>
    <row r="872" spans="1:16"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c r="O872">
        <f t="shared" si="13"/>
        <v>0</v>
      </c>
      <c r="P872" t="str" cm="1">
        <f t="array" ref="P872">_xlfn.IFS(D872&lt;=40000,"1. Up to 40K",D872&lt;=60000,"2. 40-60K",D872&lt;=80000,"3. 60-80K",TRUE,"4. Over 80K")</f>
        <v>2. 40-60K</v>
      </c>
    </row>
    <row r="873" spans="1:16" x14ac:dyDescent="0.25">
      <c r="A873">
        <v>11219</v>
      </c>
      <c r="B873" t="s">
        <v>50</v>
      </c>
      <c r="C873" t="s">
        <v>53</v>
      </c>
      <c r="D873" s="1">
        <v>60000</v>
      </c>
      <c r="E873">
        <v>2</v>
      </c>
      <c r="F873" t="s">
        <v>27</v>
      </c>
      <c r="G873" t="s">
        <v>21</v>
      </c>
      <c r="H873" t="s">
        <v>15</v>
      </c>
      <c r="I873">
        <v>2</v>
      </c>
      <c r="J873" t="s">
        <v>72</v>
      </c>
      <c r="K873" t="s">
        <v>32</v>
      </c>
      <c r="L873">
        <v>55</v>
      </c>
      <c r="M873" t="str" cm="1">
        <f t="array" ref="M873">_xlfn.IFS(L873&lt;31, "Young Adult", L873&lt;=55, "Middle Age", L873&gt;55, "Old")</f>
        <v>Middle Age</v>
      </c>
      <c r="N873" t="s">
        <v>18</v>
      </c>
      <c r="O873">
        <f t="shared" si="13"/>
        <v>0</v>
      </c>
      <c r="P873" t="str" cm="1">
        <f t="array" ref="P873">_xlfn.IFS(D873&lt;=40000,"1. Up to 40K",D873&lt;=60000,"2. 40-60K",D873&lt;=80000,"3. 60-80K",TRUE,"4. Over 80K")</f>
        <v>2. 40-60K</v>
      </c>
    </row>
    <row r="874" spans="1:16"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c r="O874">
        <f t="shared" si="13"/>
        <v>1</v>
      </c>
      <c r="P874" t="str" cm="1">
        <f t="array" ref="P874">_xlfn.IFS(D874&lt;=40000,"1. Up to 40K",D874&lt;=60000,"2. 40-60K",D874&lt;=80000,"3. 60-80K",TRUE,"4. Over 80K")</f>
        <v>3. 60-80K</v>
      </c>
    </row>
    <row r="875" spans="1:16"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c r="O875">
        <f t="shared" si="13"/>
        <v>0</v>
      </c>
      <c r="P875" t="str" cm="1">
        <f t="array" ref="P875">_xlfn.IFS(D875&lt;=40000,"1. Up to 40K",D875&lt;=60000,"2. 40-60K",D875&lt;=80000,"3. 60-80K",TRUE,"4. Over 80K")</f>
        <v>2. 40-60K</v>
      </c>
    </row>
    <row r="876" spans="1:16"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c r="O876">
        <f t="shared" si="13"/>
        <v>1</v>
      </c>
      <c r="P876" t="str" cm="1">
        <f t="array" ref="P876">_xlfn.IFS(D876&lt;=40000,"1. Up to 40K",D876&lt;=60000,"2. 40-60K",D876&lt;=80000,"3. 60-80K",TRUE,"4. Over 80K")</f>
        <v>1. Up to 40K</v>
      </c>
    </row>
    <row r="877" spans="1:16"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c r="O877">
        <f t="shared" si="13"/>
        <v>1</v>
      </c>
      <c r="P877" t="str" cm="1">
        <f t="array" ref="P877">_xlfn.IFS(D877&lt;=40000,"1. Up to 40K",D877&lt;=60000,"2. 40-60K",D877&lt;=80000,"3. 60-80K",TRUE,"4. Over 80K")</f>
        <v>3. 60-80K</v>
      </c>
    </row>
    <row r="878" spans="1:16"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c r="O878">
        <f t="shared" si="13"/>
        <v>0</v>
      </c>
      <c r="P878" t="str" cm="1">
        <f t="array" ref="P878">_xlfn.IFS(D878&lt;=40000,"1. Up to 40K",D878&lt;=60000,"2. 40-60K",D878&lt;=80000,"3. 60-80K",TRUE,"4. Over 80K")</f>
        <v>1. Up to 40K</v>
      </c>
    </row>
    <row r="879" spans="1:16"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c r="O879">
        <f t="shared" si="13"/>
        <v>0</v>
      </c>
      <c r="P879" t="str" cm="1">
        <f t="array" ref="P879">_xlfn.IFS(D879&lt;=40000,"1. Up to 40K",D879&lt;=60000,"2. 40-60K",D879&lt;=80000,"3. 60-80K",TRUE,"4. Over 80K")</f>
        <v>3. 60-80K</v>
      </c>
    </row>
    <row r="880" spans="1:16"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c r="O880">
        <f t="shared" si="13"/>
        <v>0</v>
      </c>
      <c r="P880" t="str" cm="1">
        <f t="array" ref="P880">_xlfn.IFS(D880&lt;=40000,"1. Up to 40K",D880&lt;=60000,"2. 40-60K",D880&lt;=80000,"3. 60-80K",TRUE,"4. Over 80K")</f>
        <v>2. 40-60K</v>
      </c>
    </row>
    <row r="881" spans="1:16"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c r="O881">
        <f t="shared" si="13"/>
        <v>0</v>
      </c>
      <c r="P881" t="str" cm="1">
        <f t="array" ref="P881">_xlfn.IFS(D881&lt;=40000,"1. Up to 40K",D881&lt;=60000,"2. 40-60K",D881&lt;=80000,"3. 60-80K",TRUE,"4. Over 80K")</f>
        <v>4. Over 80K</v>
      </c>
    </row>
    <row r="882" spans="1:16"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c r="O882">
        <f t="shared" si="13"/>
        <v>1</v>
      </c>
      <c r="P882" t="str" cm="1">
        <f t="array" ref="P882">_xlfn.IFS(D882&lt;=40000,"1. Up to 40K",D882&lt;=60000,"2. 40-60K",D882&lt;=80000,"3. 60-80K",TRUE,"4. Over 80K")</f>
        <v>3. 60-80K</v>
      </c>
    </row>
    <row r="883" spans="1:16"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c r="O883">
        <f t="shared" si="13"/>
        <v>1</v>
      </c>
      <c r="P883" t="str" cm="1">
        <f t="array" ref="P883">_xlfn.IFS(D883&lt;=40000,"1. Up to 40K",D883&lt;=60000,"2. 40-60K",D883&lt;=80000,"3. 60-80K",TRUE,"4. Over 80K")</f>
        <v>3. 60-80K</v>
      </c>
    </row>
    <row r="884" spans="1:16"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c r="O884">
        <f t="shared" si="13"/>
        <v>0</v>
      </c>
      <c r="P884" t="str" cm="1">
        <f t="array" ref="P884">_xlfn.IFS(D884&lt;=40000,"1. Up to 40K",D884&lt;=60000,"2. 40-60K",D884&lt;=80000,"3. 60-80K",TRUE,"4. Over 80K")</f>
        <v>1. Up to 40K</v>
      </c>
    </row>
    <row r="885" spans="1:16"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c r="O885">
        <f t="shared" si="13"/>
        <v>1</v>
      </c>
      <c r="P885" t="str" cm="1">
        <f t="array" ref="P885">_xlfn.IFS(D885&lt;=40000,"1. Up to 40K",D885&lt;=60000,"2. 40-60K",D885&lt;=80000,"3. 60-80K",TRUE,"4. Over 80K")</f>
        <v>2. 40-60K</v>
      </c>
    </row>
    <row r="886" spans="1:16"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c r="O886">
        <f t="shared" si="13"/>
        <v>0</v>
      </c>
      <c r="P886" t="str" cm="1">
        <f t="array" ref="P886">_xlfn.IFS(D886&lt;=40000,"1. Up to 40K",D886&lt;=60000,"2. 40-60K",D886&lt;=80000,"3. 60-80K",TRUE,"4. Over 80K")</f>
        <v>3. 60-80K</v>
      </c>
    </row>
    <row r="887" spans="1:16"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c r="O887">
        <f t="shared" si="13"/>
        <v>0</v>
      </c>
      <c r="P887" t="str" cm="1">
        <f t="array" ref="P887">_xlfn.IFS(D887&lt;=40000,"1. Up to 40K",D887&lt;=60000,"2. 40-60K",D887&lt;=80000,"3. 60-80K",TRUE,"4. Over 80K")</f>
        <v>1. Up to 40K</v>
      </c>
    </row>
    <row r="888" spans="1:16"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c r="O888">
        <f t="shared" si="13"/>
        <v>0</v>
      </c>
      <c r="P888" t="str" cm="1">
        <f t="array" ref="P888">_xlfn.IFS(D888&lt;=40000,"1. Up to 40K",D888&lt;=60000,"2. 40-60K",D888&lt;=80000,"3. 60-80K",TRUE,"4. Over 80K")</f>
        <v>3. 60-80K</v>
      </c>
    </row>
    <row r="889" spans="1:16"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c r="O889">
        <f t="shared" si="13"/>
        <v>0</v>
      </c>
      <c r="P889" t="str" cm="1">
        <f t="array" ref="P889">_xlfn.IFS(D889&lt;=40000,"1. Up to 40K",D889&lt;=60000,"2. 40-60K",D889&lt;=80000,"3. 60-80K",TRUE,"4. Over 80K")</f>
        <v>2. 40-60K</v>
      </c>
    </row>
    <row r="890" spans="1:16"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c r="O890">
        <f t="shared" si="13"/>
        <v>0</v>
      </c>
      <c r="P890" t="str" cm="1">
        <f t="array" ref="P890">_xlfn.IFS(D890&lt;=40000,"1. Up to 40K",D890&lt;=60000,"2. 40-60K",D890&lt;=80000,"3. 60-80K",TRUE,"4. Over 80K")</f>
        <v>2. 40-60K</v>
      </c>
    </row>
    <row r="891" spans="1:16"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c r="O891">
        <f t="shared" si="13"/>
        <v>1</v>
      </c>
      <c r="P891" t="str" cm="1">
        <f t="array" ref="P891">_xlfn.IFS(D891&lt;=40000,"1. Up to 40K",D891&lt;=60000,"2. 40-60K",D891&lt;=80000,"3. 60-80K",TRUE,"4. Over 80K")</f>
        <v>3. 60-80K</v>
      </c>
    </row>
    <row r="892" spans="1:16"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c r="O892">
        <f t="shared" si="13"/>
        <v>0</v>
      </c>
      <c r="P892" t="str" cm="1">
        <f t="array" ref="P892">_xlfn.IFS(D892&lt;=40000,"1. Up to 40K",D892&lt;=60000,"2. 40-60K",D892&lt;=80000,"3. 60-80K",TRUE,"4. Over 80K")</f>
        <v>1. Up to 40K</v>
      </c>
    </row>
    <row r="893" spans="1:16"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c r="O893">
        <f t="shared" si="13"/>
        <v>1</v>
      </c>
      <c r="P893" t="str" cm="1">
        <f t="array" ref="P893">_xlfn.IFS(D893&lt;=40000,"1. Up to 40K",D893&lt;=60000,"2. 40-60K",D893&lt;=80000,"3. 60-80K",TRUE,"4. Over 80K")</f>
        <v>4. Over 80K</v>
      </c>
    </row>
    <row r="894" spans="1:16"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c r="O894">
        <f t="shared" si="13"/>
        <v>1</v>
      </c>
      <c r="P894" t="str" cm="1">
        <f t="array" ref="P894">_xlfn.IFS(D894&lt;=40000,"1. Up to 40K",D894&lt;=60000,"2. 40-60K",D894&lt;=80000,"3. 60-80K",TRUE,"4. Over 80K")</f>
        <v>3. 60-80K</v>
      </c>
    </row>
    <row r="895" spans="1:16"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c r="O895">
        <f t="shared" si="13"/>
        <v>0</v>
      </c>
      <c r="P895" t="str" cm="1">
        <f t="array" ref="P895">_xlfn.IFS(D895&lt;=40000,"1. Up to 40K",D895&lt;=60000,"2. 40-60K",D895&lt;=80000,"3. 60-80K",TRUE,"4. Over 80K")</f>
        <v>2. 40-60K</v>
      </c>
    </row>
    <row r="896" spans="1:16"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c r="O896">
        <f t="shared" si="13"/>
        <v>1</v>
      </c>
      <c r="P896" t="str" cm="1">
        <f t="array" ref="P896">_xlfn.IFS(D896&lt;=40000,"1. Up to 40K",D896&lt;=60000,"2. 40-60K",D896&lt;=80000,"3. 60-80K",TRUE,"4. Over 80K")</f>
        <v>3. 60-80K</v>
      </c>
    </row>
    <row r="897" spans="1:16"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c r="O897">
        <f t="shared" si="13"/>
        <v>1</v>
      </c>
      <c r="P897" t="str" cm="1">
        <f t="array" ref="P897">_xlfn.IFS(D897&lt;=40000,"1. Up to 40K",D897&lt;=60000,"2. 40-60K",D897&lt;=80000,"3. 60-80K",TRUE,"4. Over 80K")</f>
        <v>2. 40-60K</v>
      </c>
    </row>
    <row r="898" spans="1:16"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c r="O898">
        <f t="shared" si="13"/>
        <v>1</v>
      </c>
      <c r="P898" t="str" cm="1">
        <f t="array" ref="P898">_xlfn.IFS(D898&lt;=40000,"1. Up to 40K",D898&lt;=60000,"2. 40-60K",D898&lt;=80000,"3. 60-80K",TRUE,"4. Over 80K")</f>
        <v>2. 40-60K</v>
      </c>
    </row>
    <row r="899" spans="1:16"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c r="O899">
        <f t="shared" ref="O899:O962" si="14">IF(N899="Yes",1,0)</f>
        <v>0</v>
      </c>
      <c r="P899" t="str" cm="1">
        <f t="array" ref="P899">_xlfn.IFS(D899&lt;=40000,"1. Up to 40K",D899&lt;=60000,"2. 40-60K",D899&lt;=80000,"3. 60-80K",TRUE,"4. Over 80K")</f>
        <v>1. Up to 40K</v>
      </c>
    </row>
    <row r="900" spans="1:16" x14ac:dyDescent="0.25">
      <c r="A900">
        <v>18066</v>
      </c>
      <c r="B900" t="s">
        <v>51</v>
      </c>
      <c r="C900" t="s">
        <v>53</v>
      </c>
      <c r="D900" s="1">
        <v>70000</v>
      </c>
      <c r="E900">
        <v>5</v>
      </c>
      <c r="F900" t="s">
        <v>13</v>
      </c>
      <c r="G900" t="s">
        <v>28</v>
      </c>
      <c r="H900" t="s">
        <v>15</v>
      </c>
      <c r="I900">
        <v>3</v>
      </c>
      <c r="J900" t="s">
        <v>72</v>
      </c>
      <c r="K900" t="s">
        <v>32</v>
      </c>
      <c r="L900">
        <v>60</v>
      </c>
      <c r="M900" t="str" cm="1">
        <f t="array" ref="M900">_xlfn.IFS(L900&lt;31, "Young Adult", L900&lt;=55, "Middle Age", L900&gt;55, "Old")</f>
        <v>Old</v>
      </c>
      <c r="N900" t="s">
        <v>15</v>
      </c>
      <c r="O900">
        <f t="shared" si="14"/>
        <v>1</v>
      </c>
      <c r="P900" t="str" cm="1">
        <f t="array" ref="P900">_xlfn.IFS(D900&lt;=40000,"1. Up to 40K",D900&lt;=60000,"2. 40-60K",D900&lt;=80000,"3. 60-80K",TRUE,"4. Over 80K")</f>
        <v>3. 60-80K</v>
      </c>
    </row>
    <row r="901" spans="1:16" x14ac:dyDescent="0.25">
      <c r="A901">
        <v>28192</v>
      </c>
      <c r="B901" t="s">
        <v>50</v>
      </c>
      <c r="C901" t="s">
        <v>52</v>
      </c>
      <c r="D901" s="1">
        <v>70000</v>
      </c>
      <c r="E901">
        <v>5</v>
      </c>
      <c r="F901" t="s">
        <v>31</v>
      </c>
      <c r="G901" t="s">
        <v>21</v>
      </c>
      <c r="H901" t="s">
        <v>15</v>
      </c>
      <c r="I901">
        <v>3</v>
      </c>
      <c r="J901" t="s">
        <v>72</v>
      </c>
      <c r="K901" t="s">
        <v>32</v>
      </c>
      <c r="L901">
        <v>46</v>
      </c>
      <c r="M901" t="str" cm="1">
        <f t="array" ref="M901">_xlfn.IFS(L901&lt;31, "Young Adult", L901&lt;=55, "Middle Age", L901&gt;55, "Old")</f>
        <v>Middle Age</v>
      </c>
      <c r="N901" t="s">
        <v>18</v>
      </c>
      <c r="O901">
        <f t="shared" si="14"/>
        <v>0</v>
      </c>
      <c r="P901" t="str" cm="1">
        <f t="array" ref="P901">_xlfn.IFS(D901&lt;=40000,"1. Up to 40K",D901&lt;=60000,"2. 40-60K",D901&lt;=80000,"3. 60-80K",TRUE,"4. Over 80K")</f>
        <v>3. 60-80K</v>
      </c>
    </row>
    <row r="902" spans="1:16"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c r="O902">
        <f t="shared" si="14"/>
        <v>1</v>
      </c>
      <c r="P902" t="str" cm="1">
        <f t="array" ref="P902">_xlfn.IFS(D902&lt;=40000,"1. Up to 40K",D902&lt;=60000,"2. 40-60K",D902&lt;=80000,"3. 60-80K",TRUE,"4. Over 80K")</f>
        <v>1. Up to 40K</v>
      </c>
    </row>
    <row r="903" spans="1:16"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c r="O903">
        <f t="shared" si="14"/>
        <v>1</v>
      </c>
      <c r="P903" t="str" cm="1">
        <f t="array" ref="P903">_xlfn.IFS(D903&lt;=40000,"1. Up to 40K",D903&lt;=60000,"2. 40-60K",D903&lt;=80000,"3. 60-80K",TRUE,"4. Over 80K")</f>
        <v>2. 40-60K</v>
      </c>
    </row>
    <row r="904" spans="1:16"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c r="O904">
        <f t="shared" si="14"/>
        <v>0</v>
      </c>
      <c r="P904" t="str" cm="1">
        <f t="array" ref="P904">_xlfn.IFS(D904&lt;=40000,"1. Up to 40K",D904&lt;=60000,"2. 40-60K",D904&lt;=80000,"3. 60-80K",TRUE,"4. Over 80K")</f>
        <v>3. 60-80K</v>
      </c>
    </row>
    <row r="905" spans="1:16"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c r="O905">
        <f t="shared" si="14"/>
        <v>0</v>
      </c>
      <c r="P905" t="str" cm="1">
        <f t="array" ref="P905">_xlfn.IFS(D905&lt;=40000,"1. Up to 40K",D905&lt;=60000,"2. 40-60K",D905&lt;=80000,"3. 60-80K",TRUE,"4. Over 80K")</f>
        <v>4. Over 80K</v>
      </c>
    </row>
    <row r="906" spans="1:16"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c r="O906">
        <f t="shared" si="14"/>
        <v>1</v>
      </c>
      <c r="P906" t="str" cm="1">
        <f t="array" ref="P906">_xlfn.IFS(D906&lt;=40000,"1. Up to 40K",D906&lt;=60000,"2. 40-60K",D906&lt;=80000,"3. 60-80K",TRUE,"4. Over 80K")</f>
        <v>2. 40-60K</v>
      </c>
    </row>
    <row r="907" spans="1:16"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c r="O907">
        <f t="shared" si="14"/>
        <v>1</v>
      </c>
      <c r="P907" t="str" cm="1">
        <f t="array" ref="P907">_xlfn.IFS(D907&lt;=40000,"1. Up to 40K",D907&lt;=60000,"2. 40-60K",D907&lt;=80000,"3. 60-80K",TRUE,"4. Over 80K")</f>
        <v>4. Over 80K</v>
      </c>
    </row>
    <row r="908" spans="1:16"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c r="O908">
        <f t="shared" si="14"/>
        <v>1</v>
      </c>
      <c r="P908" t="str" cm="1">
        <f t="array" ref="P908">_xlfn.IFS(D908&lt;=40000,"1. Up to 40K",D908&lt;=60000,"2. 40-60K",D908&lt;=80000,"3. 60-80K",TRUE,"4. Over 80K")</f>
        <v>2. 40-60K</v>
      </c>
    </row>
    <row r="909" spans="1:16" x14ac:dyDescent="0.25">
      <c r="A909">
        <v>19747</v>
      </c>
      <c r="B909" t="s">
        <v>50</v>
      </c>
      <c r="C909" t="s">
        <v>53</v>
      </c>
      <c r="D909" s="1">
        <v>50000</v>
      </c>
      <c r="E909">
        <v>4</v>
      </c>
      <c r="F909" t="s">
        <v>13</v>
      </c>
      <c r="G909" t="s">
        <v>28</v>
      </c>
      <c r="H909" t="s">
        <v>15</v>
      </c>
      <c r="I909">
        <v>2</v>
      </c>
      <c r="J909" t="s">
        <v>72</v>
      </c>
      <c r="K909" t="s">
        <v>32</v>
      </c>
      <c r="L909">
        <v>63</v>
      </c>
      <c r="M909" t="str" cm="1">
        <f t="array" ref="M909">_xlfn.IFS(L909&lt;31, "Young Adult", L909&lt;=55, "Middle Age", L909&gt;55, "Old")</f>
        <v>Old</v>
      </c>
      <c r="N909" t="s">
        <v>18</v>
      </c>
      <c r="O909">
        <f t="shared" si="14"/>
        <v>0</v>
      </c>
      <c r="P909" t="str" cm="1">
        <f t="array" ref="P909">_xlfn.IFS(D909&lt;=40000,"1. Up to 40K",D909&lt;=60000,"2. 40-60K",D909&lt;=80000,"3. 60-80K",TRUE,"4. Over 80K")</f>
        <v>2. 40-60K</v>
      </c>
    </row>
    <row r="910" spans="1:16"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c r="O910">
        <f t="shared" si="14"/>
        <v>1</v>
      </c>
      <c r="P910" t="str" cm="1">
        <f t="array" ref="P910">_xlfn.IFS(D910&lt;=40000,"1. Up to 40K",D910&lt;=60000,"2. 40-60K",D910&lt;=80000,"3. 60-80K",TRUE,"4. Over 80K")</f>
        <v>2. 40-60K</v>
      </c>
    </row>
    <row r="911" spans="1:16"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c r="O911">
        <f t="shared" si="14"/>
        <v>1</v>
      </c>
      <c r="P911" t="str" cm="1">
        <f t="array" ref="P911">_xlfn.IFS(D911&lt;=40000,"1. Up to 40K",D911&lt;=60000,"2. 40-60K",D911&lt;=80000,"3. 60-80K",TRUE,"4. Over 80K")</f>
        <v>2. 40-60K</v>
      </c>
    </row>
    <row r="912" spans="1:16"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c r="O912">
        <f t="shared" si="14"/>
        <v>0</v>
      </c>
      <c r="P912" t="str" cm="1">
        <f t="array" ref="P912">_xlfn.IFS(D912&lt;=40000,"1. Up to 40K",D912&lt;=60000,"2. 40-60K",D912&lt;=80000,"3. 60-80K",TRUE,"4. Over 80K")</f>
        <v>1. Up to 40K</v>
      </c>
    </row>
    <row r="913" spans="1:16"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c r="O913">
        <f t="shared" si="14"/>
        <v>0</v>
      </c>
      <c r="P913" t="str" cm="1">
        <f t="array" ref="P913">_xlfn.IFS(D913&lt;=40000,"1. Up to 40K",D913&lt;=60000,"2. 40-60K",D913&lt;=80000,"3. 60-80K",TRUE,"4. Over 80K")</f>
        <v>3. 60-80K</v>
      </c>
    </row>
    <row r="914" spans="1:16"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c r="O914">
        <f t="shared" si="14"/>
        <v>0</v>
      </c>
      <c r="P914" t="str" cm="1">
        <f t="array" ref="P914">_xlfn.IFS(D914&lt;=40000,"1. Up to 40K",D914&lt;=60000,"2. 40-60K",D914&lt;=80000,"3. 60-80K",TRUE,"4. Over 80K")</f>
        <v>1. Up to 40K</v>
      </c>
    </row>
    <row r="915" spans="1:16"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c r="O915">
        <f t="shared" si="14"/>
        <v>1</v>
      </c>
      <c r="P915" t="str" cm="1">
        <f t="array" ref="P915">_xlfn.IFS(D915&lt;=40000,"1. Up to 40K",D915&lt;=60000,"2. 40-60K",D915&lt;=80000,"3. 60-80K",TRUE,"4. Over 80K")</f>
        <v>2. 40-60K</v>
      </c>
    </row>
    <row r="916" spans="1:16"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c r="O916">
        <f t="shared" si="14"/>
        <v>0</v>
      </c>
      <c r="P916" t="str" cm="1">
        <f t="array" ref="P916">_xlfn.IFS(D916&lt;=40000,"1. Up to 40K",D916&lt;=60000,"2. 40-60K",D916&lt;=80000,"3. 60-80K",TRUE,"4. Over 80K")</f>
        <v>3. 60-80K</v>
      </c>
    </row>
    <row r="917" spans="1:16" x14ac:dyDescent="0.25">
      <c r="A917">
        <v>21752</v>
      </c>
      <c r="B917" t="s">
        <v>50</v>
      </c>
      <c r="C917" t="s">
        <v>53</v>
      </c>
      <c r="D917" s="1">
        <v>60000</v>
      </c>
      <c r="E917">
        <v>3</v>
      </c>
      <c r="F917" t="s">
        <v>31</v>
      </c>
      <c r="G917" t="s">
        <v>28</v>
      </c>
      <c r="H917" t="s">
        <v>15</v>
      </c>
      <c r="I917">
        <v>2</v>
      </c>
      <c r="J917" t="s">
        <v>72</v>
      </c>
      <c r="K917" t="s">
        <v>32</v>
      </c>
      <c r="L917">
        <v>64</v>
      </c>
      <c r="M917" t="str" cm="1">
        <f t="array" ref="M917">_xlfn.IFS(L917&lt;31, "Young Adult", L917&lt;=55, "Middle Age", L917&gt;55, "Old")</f>
        <v>Old</v>
      </c>
      <c r="N917" t="s">
        <v>18</v>
      </c>
      <c r="O917">
        <f t="shared" si="14"/>
        <v>0</v>
      </c>
      <c r="P917" t="str" cm="1">
        <f t="array" ref="P917">_xlfn.IFS(D917&lt;=40000,"1. Up to 40K",D917&lt;=60000,"2. 40-60K",D917&lt;=80000,"3. 60-80K",TRUE,"4. Over 80K")</f>
        <v>2. 40-60K</v>
      </c>
    </row>
    <row r="918" spans="1:16"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c r="O918">
        <f t="shared" si="14"/>
        <v>1</v>
      </c>
      <c r="P918" t="str" cm="1">
        <f t="array" ref="P918">_xlfn.IFS(D918&lt;=40000,"1. Up to 40K",D918&lt;=60000,"2. 40-60K",D918&lt;=80000,"3. 60-80K",TRUE,"4. Over 80K")</f>
        <v>3. 60-80K</v>
      </c>
    </row>
    <row r="919" spans="1:16"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c r="O919">
        <f t="shared" si="14"/>
        <v>1</v>
      </c>
      <c r="P919" t="str" cm="1">
        <f t="array" ref="P919">_xlfn.IFS(D919&lt;=40000,"1. Up to 40K",D919&lt;=60000,"2. 40-60K",D919&lt;=80000,"3. 60-80K",TRUE,"4. Over 80K")</f>
        <v>4. Over 80K</v>
      </c>
    </row>
    <row r="920" spans="1:16"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c r="O920">
        <f t="shared" si="14"/>
        <v>1</v>
      </c>
      <c r="P920" t="str" cm="1">
        <f t="array" ref="P920">_xlfn.IFS(D920&lt;=40000,"1. Up to 40K",D920&lt;=60000,"2. 40-60K",D920&lt;=80000,"3. 60-80K",TRUE,"4. Over 80K")</f>
        <v>3. 60-80K</v>
      </c>
    </row>
    <row r="921" spans="1:16" x14ac:dyDescent="0.25">
      <c r="A921">
        <v>21451</v>
      </c>
      <c r="B921" t="s">
        <v>50</v>
      </c>
      <c r="C921" t="s">
        <v>52</v>
      </c>
      <c r="D921" s="1">
        <v>40000</v>
      </c>
      <c r="E921">
        <v>4</v>
      </c>
      <c r="F921" t="s">
        <v>27</v>
      </c>
      <c r="G921" t="s">
        <v>21</v>
      </c>
      <c r="H921" t="s">
        <v>15</v>
      </c>
      <c r="I921">
        <v>2</v>
      </c>
      <c r="J921" t="s">
        <v>72</v>
      </c>
      <c r="K921" t="s">
        <v>32</v>
      </c>
      <c r="L921">
        <v>61</v>
      </c>
      <c r="M921" t="str" cm="1">
        <f t="array" ref="M921">_xlfn.IFS(L921&lt;31, "Young Adult", L921&lt;=55, "Middle Age", L921&gt;55, "Old")</f>
        <v>Old</v>
      </c>
      <c r="N921" t="s">
        <v>18</v>
      </c>
      <c r="O921">
        <f t="shared" si="14"/>
        <v>0</v>
      </c>
      <c r="P921" t="str" cm="1">
        <f t="array" ref="P921">_xlfn.IFS(D921&lt;=40000,"1. Up to 40K",D921&lt;=60000,"2. 40-60K",D921&lt;=80000,"3. 60-80K",TRUE,"4. Over 80K")</f>
        <v>1. Up to 40K</v>
      </c>
    </row>
    <row r="922" spans="1:16"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c r="O922">
        <f t="shared" si="14"/>
        <v>0</v>
      </c>
      <c r="P922" t="str" cm="1">
        <f t="array" ref="P922">_xlfn.IFS(D922&lt;=40000,"1. Up to 40K",D922&lt;=60000,"2. 40-60K",D922&lt;=80000,"3. 60-80K",TRUE,"4. Over 80K")</f>
        <v>1. Up to 40K</v>
      </c>
    </row>
    <row r="923" spans="1:16"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c r="O923">
        <f t="shared" si="14"/>
        <v>1</v>
      </c>
      <c r="P923" t="str" cm="1">
        <f t="array" ref="P923">_xlfn.IFS(D923&lt;=40000,"1. Up to 40K",D923&lt;=60000,"2. 40-60K",D923&lt;=80000,"3. 60-80K",TRUE,"4. Over 80K")</f>
        <v>3. 60-80K</v>
      </c>
    </row>
    <row r="924" spans="1:16"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c r="O924">
        <f t="shared" si="14"/>
        <v>1</v>
      </c>
      <c r="P924" t="str" cm="1">
        <f t="array" ref="P924">_xlfn.IFS(D924&lt;=40000,"1. Up to 40K",D924&lt;=60000,"2. 40-60K",D924&lt;=80000,"3. 60-80K",TRUE,"4. Over 80K")</f>
        <v>1. Up to 40K</v>
      </c>
    </row>
    <row r="925" spans="1:16"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c r="O925">
        <f t="shared" si="14"/>
        <v>1</v>
      </c>
      <c r="P925" t="str" cm="1">
        <f t="array" ref="P925">_xlfn.IFS(D925&lt;=40000,"1. Up to 40K",D925&lt;=60000,"2. 40-60K",D925&lt;=80000,"3. 60-80K",TRUE,"4. Over 80K")</f>
        <v>3. 60-80K</v>
      </c>
    </row>
    <row r="926" spans="1:16"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c r="O926">
        <f t="shared" si="14"/>
        <v>1</v>
      </c>
      <c r="P926" t="str" cm="1">
        <f t="array" ref="P926">_xlfn.IFS(D926&lt;=40000,"1. Up to 40K",D926&lt;=60000,"2. 40-60K",D926&lt;=80000,"3. 60-80K",TRUE,"4. Over 80K")</f>
        <v>4. Over 80K</v>
      </c>
    </row>
    <row r="927" spans="1:16"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c r="O927">
        <f t="shared" si="14"/>
        <v>1</v>
      </c>
      <c r="P927" t="str" cm="1">
        <f t="array" ref="P927">_xlfn.IFS(D927&lt;=40000,"1. Up to 40K",D927&lt;=60000,"2. 40-60K",D927&lt;=80000,"3. 60-80K",TRUE,"4. Over 80K")</f>
        <v>2. 40-60K</v>
      </c>
    </row>
    <row r="928" spans="1:16" x14ac:dyDescent="0.25">
      <c r="A928">
        <v>26495</v>
      </c>
      <c r="B928" t="s">
        <v>51</v>
      </c>
      <c r="C928" t="s">
        <v>52</v>
      </c>
      <c r="D928" s="1">
        <v>40000</v>
      </c>
      <c r="E928">
        <v>2</v>
      </c>
      <c r="F928" t="s">
        <v>27</v>
      </c>
      <c r="G928" t="s">
        <v>21</v>
      </c>
      <c r="H928" t="s">
        <v>15</v>
      </c>
      <c r="I928">
        <v>2</v>
      </c>
      <c r="J928" t="s">
        <v>72</v>
      </c>
      <c r="K928" t="s">
        <v>32</v>
      </c>
      <c r="L928">
        <v>57</v>
      </c>
      <c r="M928" t="str" cm="1">
        <f t="array" ref="M928">_xlfn.IFS(L928&lt;31, "Young Adult", L928&lt;=55, "Middle Age", L928&gt;55, "Old")</f>
        <v>Old</v>
      </c>
      <c r="N928" t="s">
        <v>18</v>
      </c>
      <c r="O928">
        <f t="shared" si="14"/>
        <v>0</v>
      </c>
      <c r="P928" t="str" cm="1">
        <f t="array" ref="P928">_xlfn.IFS(D928&lt;=40000,"1. Up to 40K",D928&lt;=60000,"2. 40-60K",D928&lt;=80000,"3. 60-80K",TRUE,"4. Over 80K")</f>
        <v>1. Up to 40K</v>
      </c>
    </row>
    <row r="929" spans="1:16"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c r="O929">
        <f t="shared" si="14"/>
        <v>0</v>
      </c>
      <c r="P929" t="str" cm="1">
        <f t="array" ref="P929">_xlfn.IFS(D929&lt;=40000,"1. Up to 40K",D929&lt;=60000,"2. 40-60K",D929&lt;=80000,"3. 60-80K",TRUE,"4. Over 80K")</f>
        <v>3. 60-80K</v>
      </c>
    </row>
    <row r="930" spans="1:16"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c r="O930">
        <f t="shared" si="14"/>
        <v>0</v>
      </c>
      <c r="P930" t="str" cm="1">
        <f t="array" ref="P930">_xlfn.IFS(D930&lt;=40000,"1. Up to 40K",D930&lt;=60000,"2. 40-60K",D930&lt;=80000,"3. 60-80K",TRUE,"4. Over 80K")</f>
        <v>2. 40-60K</v>
      </c>
    </row>
    <row r="931" spans="1:16"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c r="O931">
        <f t="shared" si="14"/>
        <v>0</v>
      </c>
      <c r="P931" t="str" cm="1">
        <f t="array" ref="P931">_xlfn.IFS(D931&lt;=40000,"1. Up to 40K",D931&lt;=60000,"2. 40-60K",D931&lt;=80000,"3. 60-80K",TRUE,"4. Over 80K")</f>
        <v>2. 40-60K</v>
      </c>
    </row>
    <row r="932" spans="1:16" x14ac:dyDescent="0.25">
      <c r="A932">
        <v>19543</v>
      </c>
      <c r="B932" t="s">
        <v>50</v>
      </c>
      <c r="C932" t="s">
        <v>53</v>
      </c>
      <c r="D932" s="1">
        <v>70000</v>
      </c>
      <c r="E932">
        <v>5</v>
      </c>
      <c r="F932" t="s">
        <v>31</v>
      </c>
      <c r="G932" t="s">
        <v>21</v>
      </c>
      <c r="H932" t="s">
        <v>18</v>
      </c>
      <c r="I932">
        <v>3</v>
      </c>
      <c r="J932" t="s">
        <v>72</v>
      </c>
      <c r="K932" t="s">
        <v>32</v>
      </c>
      <c r="L932">
        <v>47</v>
      </c>
      <c r="M932" t="str" cm="1">
        <f t="array" ref="M932">_xlfn.IFS(L932&lt;31, "Young Adult", L932&lt;=55, "Middle Age", L932&gt;55, "Old")</f>
        <v>Middle Age</v>
      </c>
      <c r="N932" t="s">
        <v>18</v>
      </c>
      <c r="O932">
        <f t="shared" si="14"/>
        <v>0</v>
      </c>
      <c r="P932" t="str" cm="1">
        <f t="array" ref="P932">_xlfn.IFS(D932&lt;=40000,"1. Up to 40K",D932&lt;=60000,"2. 40-60K",D932&lt;=80000,"3. 60-80K",TRUE,"4. Over 80K")</f>
        <v>3. 60-80K</v>
      </c>
    </row>
    <row r="933" spans="1:16"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c r="O933">
        <f t="shared" si="14"/>
        <v>1</v>
      </c>
      <c r="P933" t="str" cm="1">
        <f t="array" ref="P933">_xlfn.IFS(D933&lt;=40000,"1. Up to 40K",D933&lt;=60000,"2. 40-60K",D933&lt;=80000,"3. 60-80K",TRUE,"4. Over 80K")</f>
        <v>1. Up to 40K</v>
      </c>
    </row>
    <row r="934" spans="1:16"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c r="O934">
        <f t="shared" si="14"/>
        <v>1</v>
      </c>
      <c r="P934" t="str" cm="1">
        <f t="array" ref="P934">_xlfn.IFS(D934&lt;=40000,"1. Up to 40K",D934&lt;=60000,"2. 40-60K",D934&lt;=80000,"3. 60-80K",TRUE,"4. Over 80K")</f>
        <v>1. Up to 40K</v>
      </c>
    </row>
    <row r="935" spans="1:16"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c r="O935">
        <f t="shared" si="14"/>
        <v>0</v>
      </c>
      <c r="P935" t="str" cm="1">
        <f t="array" ref="P935">_xlfn.IFS(D935&lt;=40000,"1. Up to 40K",D935&lt;=60000,"2. 40-60K",D935&lt;=80000,"3. 60-80K",TRUE,"4. Over 80K")</f>
        <v>2. 40-60K</v>
      </c>
    </row>
    <row r="936" spans="1:16"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c r="O936">
        <f t="shared" si="14"/>
        <v>0</v>
      </c>
      <c r="P936" t="str" cm="1">
        <f t="array" ref="P936">_xlfn.IFS(D936&lt;=40000,"1. Up to 40K",D936&lt;=60000,"2. 40-60K",D936&lt;=80000,"3. 60-80K",TRUE,"4. Over 80K")</f>
        <v>2. 40-60K</v>
      </c>
    </row>
    <row r="937" spans="1:16"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c r="O937">
        <f t="shared" si="14"/>
        <v>1</v>
      </c>
      <c r="P937" t="str" cm="1">
        <f t="array" ref="P937">_xlfn.IFS(D937&lt;=40000,"1. Up to 40K",D937&lt;=60000,"2. 40-60K",D937&lt;=80000,"3. 60-80K",TRUE,"4. Over 80K")</f>
        <v>2. 40-60K</v>
      </c>
    </row>
    <row r="938" spans="1:16"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c r="O938">
        <f t="shared" si="14"/>
        <v>0</v>
      </c>
      <c r="P938" t="str" cm="1">
        <f t="array" ref="P938">_xlfn.IFS(D938&lt;=40000,"1. Up to 40K",D938&lt;=60000,"2. 40-60K",D938&lt;=80000,"3. 60-80K",TRUE,"4. Over 80K")</f>
        <v>2. 40-60K</v>
      </c>
    </row>
    <row r="939" spans="1:16"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c r="O939">
        <f t="shared" si="14"/>
        <v>1</v>
      </c>
      <c r="P939" t="str" cm="1">
        <f t="array" ref="P939">_xlfn.IFS(D939&lt;=40000,"1. Up to 40K",D939&lt;=60000,"2. 40-60K",D939&lt;=80000,"3. 60-80K",TRUE,"4. Over 80K")</f>
        <v>3. 60-80K</v>
      </c>
    </row>
    <row r="940" spans="1:16"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c r="O940">
        <f t="shared" si="14"/>
        <v>0</v>
      </c>
      <c r="P940" t="str" cm="1">
        <f t="array" ref="P940">_xlfn.IFS(D940&lt;=40000,"1. Up to 40K",D940&lt;=60000,"2. 40-60K",D940&lt;=80000,"3. 60-80K",TRUE,"4. Over 80K")</f>
        <v>1. Up to 40K</v>
      </c>
    </row>
    <row r="941" spans="1:16"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c r="O941">
        <f t="shared" si="14"/>
        <v>0</v>
      </c>
      <c r="P941" t="str" cm="1">
        <f t="array" ref="P941">_xlfn.IFS(D941&lt;=40000,"1. Up to 40K",D941&lt;=60000,"2. 40-60K",D941&lt;=80000,"3. 60-80K",TRUE,"4. Over 80K")</f>
        <v>3. 60-80K</v>
      </c>
    </row>
    <row r="942" spans="1:16"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c r="O942">
        <f t="shared" si="14"/>
        <v>0</v>
      </c>
      <c r="P942" t="str" cm="1">
        <f t="array" ref="P942">_xlfn.IFS(D942&lt;=40000,"1. Up to 40K",D942&lt;=60000,"2. 40-60K",D942&lt;=80000,"3. 60-80K",TRUE,"4. Over 80K")</f>
        <v>2. 40-60K</v>
      </c>
    </row>
    <row r="943" spans="1:16"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c r="O943">
        <f t="shared" si="14"/>
        <v>1</v>
      </c>
      <c r="P943" t="str" cm="1">
        <f t="array" ref="P943">_xlfn.IFS(D943&lt;=40000,"1. Up to 40K",D943&lt;=60000,"2. 40-60K",D943&lt;=80000,"3. 60-80K",TRUE,"4. Over 80K")</f>
        <v>2. 40-60K</v>
      </c>
    </row>
    <row r="944" spans="1:16"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c r="O944">
        <f t="shared" si="14"/>
        <v>0</v>
      </c>
      <c r="P944" t="str" cm="1">
        <f t="array" ref="P944">_xlfn.IFS(D944&lt;=40000,"1. Up to 40K",D944&lt;=60000,"2. 40-60K",D944&lt;=80000,"3. 60-80K",TRUE,"4. Over 80K")</f>
        <v>1. Up to 40K</v>
      </c>
    </row>
    <row r="945" spans="1:16"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c r="O945">
        <f t="shared" si="14"/>
        <v>0</v>
      </c>
      <c r="P945" t="str" cm="1">
        <f t="array" ref="P945">_xlfn.IFS(D945&lt;=40000,"1. Up to 40K",D945&lt;=60000,"2. 40-60K",D945&lt;=80000,"3. 60-80K",TRUE,"4. Over 80K")</f>
        <v>2. 40-60K</v>
      </c>
    </row>
    <row r="946" spans="1:16"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c r="O946">
        <f t="shared" si="14"/>
        <v>1</v>
      </c>
      <c r="P946" t="str" cm="1">
        <f t="array" ref="P946">_xlfn.IFS(D946&lt;=40000,"1. Up to 40K",D946&lt;=60000,"2. 40-60K",D946&lt;=80000,"3. 60-80K",TRUE,"4. Over 80K")</f>
        <v>2. 40-60K</v>
      </c>
    </row>
    <row r="947" spans="1:16"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c r="O947">
        <f t="shared" si="14"/>
        <v>1</v>
      </c>
      <c r="P947" t="str" cm="1">
        <f t="array" ref="P947">_xlfn.IFS(D947&lt;=40000,"1. Up to 40K",D947&lt;=60000,"2. 40-60K",D947&lt;=80000,"3. 60-80K",TRUE,"4. Over 80K")</f>
        <v>2. 40-60K</v>
      </c>
    </row>
    <row r="948" spans="1:16"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c r="O948">
        <f t="shared" si="14"/>
        <v>1</v>
      </c>
      <c r="P948" t="str" cm="1">
        <f t="array" ref="P948">_xlfn.IFS(D948&lt;=40000,"1. Up to 40K",D948&lt;=60000,"2. 40-60K",D948&lt;=80000,"3. 60-80K",TRUE,"4. Over 80K")</f>
        <v>4. Over 80K</v>
      </c>
    </row>
    <row r="949" spans="1:16"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c r="O949">
        <f t="shared" si="14"/>
        <v>1</v>
      </c>
      <c r="P949" t="str" cm="1">
        <f t="array" ref="P949">_xlfn.IFS(D949&lt;=40000,"1. Up to 40K",D949&lt;=60000,"2. 40-60K",D949&lt;=80000,"3. 60-80K",TRUE,"4. Over 80K")</f>
        <v>4. Over 80K</v>
      </c>
    </row>
    <row r="950" spans="1:16"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c r="O950">
        <f t="shared" si="14"/>
        <v>0</v>
      </c>
      <c r="P950" t="str" cm="1">
        <f t="array" ref="P950">_xlfn.IFS(D950&lt;=40000,"1. Up to 40K",D950&lt;=60000,"2. 40-60K",D950&lt;=80000,"3. 60-80K",TRUE,"4. Over 80K")</f>
        <v>2. 40-60K</v>
      </c>
    </row>
    <row r="951" spans="1:16" x14ac:dyDescent="0.25">
      <c r="A951">
        <v>28056</v>
      </c>
      <c r="B951" t="s">
        <v>50</v>
      </c>
      <c r="C951" t="s">
        <v>53</v>
      </c>
      <c r="D951" s="1">
        <v>70000</v>
      </c>
      <c r="E951">
        <v>2</v>
      </c>
      <c r="F951" t="s">
        <v>29</v>
      </c>
      <c r="G951" t="s">
        <v>14</v>
      </c>
      <c r="H951" t="s">
        <v>15</v>
      </c>
      <c r="I951">
        <v>2</v>
      </c>
      <c r="J951" t="s">
        <v>72</v>
      </c>
      <c r="K951" t="s">
        <v>32</v>
      </c>
      <c r="L951">
        <v>53</v>
      </c>
      <c r="M951" t="str" cm="1">
        <f t="array" ref="M951">_xlfn.IFS(L951&lt;31, "Young Adult", L951&lt;=55, "Middle Age", L951&gt;55, "Old")</f>
        <v>Middle Age</v>
      </c>
      <c r="N951" t="s">
        <v>18</v>
      </c>
      <c r="O951">
        <f t="shared" si="14"/>
        <v>0</v>
      </c>
      <c r="P951" t="str" cm="1">
        <f t="array" ref="P951">_xlfn.IFS(D951&lt;=40000,"1. Up to 40K",D951&lt;=60000,"2. 40-60K",D951&lt;=80000,"3. 60-80K",TRUE,"4. Over 80K")</f>
        <v>3. 60-80K</v>
      </c>
    </row>
    <row r="952" spans="1:16"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c r="O952">
        <f t="shared" si="14"/>
        <v>0</v>
      </c>
      <c r="P952" t="str" cm="1">
        <f t="array" ref="P952">_xlfn.IFS(D952&lt;=40000,"1. Up to 40K",D952&lt;=60000,"2. 40-60K",D952&lt;=80000,"3. 60-80K",TRUE,"4. Over 80K")</f>
        <v>3. 60-80K</v>
      </c>
    </row>
    <row r="953" spans="1:16"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c r="O953">
        <f t="shared" si="14"/>
        <v>0</v>
      </c>
      <c r="P953" t="str" cm="1">
        <f t="array" ref="P953">_xlfn.IFS(D953&lt;=40000,"1. Up to 40K",D953&lt;=60000,"2. 40-60K",D953&lt;=80000,"3. 60-80K",TRUE,"4. Over 80K")</f>
        <v>3. 60-80K</v>
      </c>
    </row>
    <row r="954" spans="1:16"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c r="O954">
        <f t="shared" si="14"/>
        <v>0</v>
      </c>
      <c r="P954" t="str" cm="1">
        <f t="array" ref="P954">_xlfn.IFS(D954&lt;=40000,"1. Up to 40K",D954&lt;=60000,"2. 40-60K",D954&lt;=80000,"3. 60-80K",TRUE,"4. Over 80K")</f>
        <v>3. 60-80K</v>
      </c>
    </row>
    <row r="955" spans="1:16"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c r="O955">
        <f t="shared" si="14"/>
        <v>1</v>
      </c>
      <c r="P955" t="str" cm="1">
        <f t="array" ref="P955">_xlfn.IFS(D955&lt;=40000,"1. Up to 40K",D955&lt;=60000,"2. 40-60K",D955&lt;=80000,"3. 60-80K",TRUE,"4. Over 80K")</f>
        <v>1. Up to 40K</v>
      </c>
    </row>
    <row r="956" spans="1:16"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c r="O956">
        <f t="shared" si="14"/>
        <v>1</v>
      </c>
      <c r="P956" t="str" cm="1">
        <f t="array" ref="P956">_xlfn.IFS(D956&lt;=40000,"1. Up to 40K",D956&lt;=60000,"2. 40-60K",D956&lt;=80000,"3. 60-80K",TRUE,"4. Over 80K")</f>
        <v>2. 40-60K</v>
      </c>
    </row>
    <row r="957" spans="1:16"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c r="O957">
        <f t="shared" si="14"/>
        <v>0</v>
      </c>
      <c r="P957" t="str" cm="1">
        <f t="array" ref="P957">_xlfn.IFS(D957&lt;=40000,"1. Up to 40K",D957&lt;=60000,"2. 40-60K",D957&lt;=80000,"3. 60-80K",TRUE,"4. Over 80K")</f>
        <v>1. Up to 40K</v>
      </c>
    </row>
    <row r="958" spans="1:16"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c r="O958">
        <f t="shared" si="14"/>
        <v>1</v>
      </c>
      <c r="P958" t="str" cm="1">
        <f t="array" ref="P958">_xlfn.IFS(D958&lt;=40000,"1. Up to 40K",D958&lt;=60000,"2. 40-60K",D958&lt;=80000,"3. 60-80K",TRUE,"4. Over 80K")</f>
        <v>3. 60-80K</v>
      </c>
    </row>
    <row r="959" spans="1:16"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c r="O959">
        <f t="shared" si="14"/>
        <v>0</v>
      </c>
      <c r="P959" t="str" cm="1">
        <f t="array" ref="P959">_xlfn.IFS(D959&lt;=40000,"1. Up to 40K",D959&lt;=60000,"2. 40-60K",D959&lt;=80000,"3. 60-80K",TRUE,"4. Over 80K")</f>
        <v>2. 40-60K</v>
      </c>
    </row>
    <row r="960" spans="1:16"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c r="O960">
        <f t="shared" si="14"/>
        <v>1</v>
      </c>
      <c r="P960" t="str" cm="1">
        <f t="array" ref="P960">_xlfn.IFS(D960&lt;=40000,"1. Up to 40K",D960&lt;=60000,"2. 40-60K",D960&lt;=80000,"3. 60-80K",TRUE,"4. Over 80K")</f>
        <v>4. Over 80K</v>
      </c>
    </row>
    <row r="961" spans="1:16"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c r="O961">
        <f t="shared" si="14"/>
        <v>1</v>
      </c>
      <c r="P961" t="str" cm="1">
        <f t="array" ref="P961">_xlfn.IFS(D961&lt;=40000,"1. Up to 40K",D961&lt;=60000,"2. 40-60K",D961&lt;=80000,"3. 60-80K",TRUE,"4. Over 80K")</f>
        <v>2. 40-60K</v>
      </c>
    </row>
    <row r="962" spans="1:16"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c r="O962">
        <f t="shared" si="14"/>
        <v>0</v>
      </c>
      <c r="P962" t="str" cm="1">
        <f t="array" ref="P962">_xlfn.IFS(D962&lt;=40000,"1. Up to 40K",D962&lt;=60000,"2. 40-60K",D962&lt;=80000,"3. 60-80K",TRUE,"4. Over 80K")</f>
        <v>4. Over 80K</v>
      </c>
    </row>
    <row r="963" spans="1:16"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c r="O963">
        <f t="shared" ref="O963:O1001" si="15">IF(N963="Yes",1,0)</f>
        <v>0</v>
      </c>
      <c r="P963" t="str" cm="1">
        <f t="array" ref="P963">_xlfn.IFS(D963&lt;=40000,"1. Up to 40K",D963&lt;=60000,"2. 40-60K",D963&lt;=80000,"3. 60-80K",TRUE,"4. Over 80K")</f>
        <v>4. Over 80K</v>
      </c>
    </row>
    <row r="964" spans="1:16" x14ac:dyDescent="0.25">
      <c r="A964">
        <v>16813</v>
      </c>
      <c r="B964" t="s">
        <v>50</v>
      </c>
      <c r="C964" t="s">
        <v>53</v>
      </c>
      <c r="D964" s="1">
        <v>60000</v>
      </c>
      <c r="E964">
        <v>2</v>
      </c>
      <c r="F964" t="s">
        <v>19</v>
      </c>
      <c r="G964" t="s">
        <v>21</v>
      </c>
      <c r="H964" t="s">
        <v>15</v>
      </c>
      <c r="I964">
        <v>2</v>
      </c>
      <c r="J964" t="s">
        <v>72</v>
      </c>
      <c r="K964" t="s">
        <v>32</v>
      </c>
      <c r="L964">
        <v>55</v>
      </c>
      <c r="M964" t="str" cm="1">
        <f t="array" ref="M964">_xlfn.IFS(L964&lt;31, "Young Adult", L964&lt;=55, "Middle Age", L964&gt;55, "Old")</f>
        <v>Middle Age</v>
      </c>
      <c r="N964" t="s">
        <v>18</v>
      </c>
      <c r="O964">
        <f t="shared" si="15"/>
        <v>0</v>
      </c>
      <c r="P964" t="str" cm="1">
        <f t="array" ref="P964">_xlfn.IFS(D964&lt;=40000,"1. Up to 40K",D964&lt;=60000,"2. 40-60K",D964&lt;=80000,"3. 60-80K",TRUE,"4. Over 80K")</f>
        <v>2. 40-60K</v>
      </c>
    </row>
    <row r="965" spans="1:16"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c r="O965">
        <f t="shared" si="15"/>
        <v>1</v>
      </c>
      <c r="P965" t="str" cm="1">
        <f t="array" ref="P965">_xlfn.IFS(D965&lt;=40000,"1. Up to 40K",D965&lt;=60000,"2. 40-60K",D965&lt;=80000,"3. 60-80K",TRUE,"4. Over 80K")</f>
        <v>4. Over 80K</v>
      </c>
    </row>
    <row r="966" spans="1:16" x14ac:dyDescent="0.25">
      <c r="A966">
        <v>27434</v>
      </c>
      <c r="B966" t="s">
        <v>51</v>
      </c>
      <c r="C966" t="s">
        <v>53</v>
      </c>
      <c r="D966" s="1">
        <v>70000</v>
      </c>
      <c r="E966">
        <v>4</v>
      </c>
      <c r="F966" t="s">
        <v>19</v>
      </c>
      <c r="G966" t="s">
        <v>21</v>
      </c>
      <c r="H966" t="s">
        <v>15</v>
      </c>
      <c r="I966">
        <v>1</v>
      </c>
      <c r="J966" t="s">
        <v>72</v>
      </c>
      <c r="K966" t="s">
        <v>32</v>
      </c>
      <c r="L966">
        <v>56</v>
      </c>
      <c r="M966" t="str" cm="1">
        <f t="array" ref="M966">_xlfn.IFS(L966&lt;31, "Young Adult", L966&lt;=55, "Middle Age", L966&gt;55, "Old")</f>
        <v>Old</v>
      </c>
      <c r="N966" t="s">
        <v>18</v>
      </c>
      <c r="O966">
        <f t="shared" si="15"/>
        <v>0</v>
      </c>
      <c r="P966" t="str" cm="1">
        <f t="array" ref="P966">_xlfn.IFS(D966&lt;=40000,"1. Up to 40K",D966&lt;=60000,"2. 40-60K",D966&lt;=80000,"3. 60-80K",TRUE,"4. Over 80K")</f>
        <v>3. 60-80K</v>
      </c>
    </row>
    <row r="967" spans="1:16"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c r="O967">
        <f t="shared" si="15"/>
        <v>0</v>
      </c>
      <c r="P967" t="str" cm="1">
        <f t="array" ref="P967">_xlfn.IFS(D967&lt;=40000,"1. Up to 40K",D967&lt;=60000,"2. 40-60K",D967&lt;=80000,"3. 60-80K",TRUE,"4. Over 80K")</f>
        <v>2. 40-60K</v>
      </c>
    </row>
    <row r="968" spans="1:16"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c r="O968">
        <f t="shared" si="15"/>
        <v>1</v>
      </c>
      <c r="P968" t="str" cm="1">
        <f t="array" ref="P968">_xlfn.IFS(D968&lt;=40000,"1. Up to 40K",D968&lt;=60000,"2. 40-60K",D968&lt;=80000,"3. 60-80K",TRUE,"4. Over 80K")</f>
        <v>2. 40-60K</v>
      </c>
    </row>
    <row r="969" spans="1:16"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c r="O969">
        <f t="shared" si="15"/>
        <v>0</v>
      </c>
      <c r="P969" t="str" cm="1">
        <f t="array" ref="P969">_xlfn.IFS(D969&lt;=40000,"1. Up to 40K",D969&lt;=60000,"2. 40-60K",D969&lt;=80000,"3. 60-80K",TRUE,"4. Over 80K")</f>
        <v>3. 60-80K</v>
      </c>
    </row>
    <row r="970" spans="1:16"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c r="O970">
        <f t="shared" si="15"/>
        <v>0</v>
      </c>
      <c r="P970" t="str" cm="1">
        <f t="array" ref="P970">_xlfn.IFS(D970&lt;=40000,"1. Up to 40K",D970&lt;=60000,"2. 40-60K",D970&lt;=80000,"3. 60-80K",TRUE,"4. Over 80K")</f>
        <v>1. Up to 40K</v>
      </c>
    </row>
    <row r="971" spans="1:16"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c r="O971">
        <f t="shared" si="15"/>
        <v>0</v>
      </c>
      <c r="P971" t="str" cm="1">
        <f t="array" ref="P971">_xlfn.IFS(D971&lt;=40000,"1. Up to 40K",D971&lt;=60000,"2. 40-60K",D971&lt;=80000,"3. 60-80K",TRUE,"4. Over 80K")</f>
        <v>2. 40-60K</v>
      </c>
    </row>
    <row r="972" spans="1:16"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c r="O972">
        <f t="shared" si="15"/>
        <v>0</v>
      </c>
      <c r="P972" t="str" cm="1">
        <f t="array" ref="P972">_xlfn.IFS(D972&lt;=40000,"1. Up to 40K",D972&lt;=60000,"2. 40-60K",D972&lt;=80000,"3. 60-80K",TRUE,"4. Over 80K")</f>
        <v>2. 40-60K</v>
      </c>
    </row>
    <row r="973" spans="1:16"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c r="O973">
        <f t="shared" si="15"/>
        <v>0</v>
      </c>
      <c r="P973" t="str" cm="1">
        <f t="array" ref="P973">_xlfn.IFS(D973&lt;=40000,"1. Up to 40K",D973&lt;=60000,"2. 40-60K",D973&lt;=80000,"3. 60-80K",TRUE,"4. Over 80K")</f>
        <v>2. 40-60K</v>
      </c>
    </row>
    <row r="974" spans="1:16"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c r="O974">
        <f t="shared" si="15"/>
        <v>0</v>
      </c>
      <c r="P974" t="str" cm="1">
        <f t="array" ref="P974">_xlfn.IFS(D974&lt;=40000,"1. Up to 40K",D974&lt;=60000,"2. 40-60K",D974&lt;=80000,"3. 60-80K",TRUE,"4. Over 80K")</f>
        <v>1. Up to 40K</v>
      </c>
    </row>
    <row r="975" spans="1:16"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c r="O975">
        <f t="shared" si="15"/>
        <v>0</v>
      </c>
      <c r="P975" t="str" cm="1">
        <f t="array" ref="P975">_xlfn.IFS(D975&lt;=40000,"1. Up to 40K",D975&lt;=60000,"2. 40-60K",D975&lt;=80000,"3. 60-80K",TRUE,"4. Over 80K")</f>
        <v>2. 40-60K</v>
      </c>
    </row>
    <row r="976" spans="1:16"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c r="O976">
        <f t="shared" si="15"/>
        <v>1</v>
      </c>
      <c r="P976" t="str" cm="1">
        <f t="array" ref="P976">_xlfn.IFS(D976&lt;=40000,"1. Up to 40K",D976&lt;=60000,"2. 40-60K",D976&lt;=80000,"3. 60-80K",TRUE,"4. Over 80K")</f>
        <v>3. 60-80K</v>
      </c>
    </row>
    <row r="977" spans="1:16"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c r="O977">
        <f t="shared" si="15"/>
        <v>1</v>
      </c>
      <c r="P977" t="str" cm="1">
        <f t="array" ref="P977">_xlfn.IFS(D977&lt;=40000,"1. Up to 40K",D977&lt;=60000,"2. 40-60K",D977&lt;=80000,"3. 60-80K",TRUE,"4. Over 80K")</f>
        <v>3. 60-80K</v>
      </c>
    </row>
    <row r="978" spans="1:16" x14ac:dyDescent="0.25">
      <c r="A978">
        <v>28004</v>
      </c>
      <c r="B978" t="s">
        <v>50</v>
      </c>
      <c r="C978" t="s">
        <v>52</v>
      </c>
      <c r="D978" s="1">
        <v>60000</v>
      </c>
      <c r="E978">
        <v>3</v>
      </c>
      <c r="F978" t="s">
        <v>13</v>
      </c>
      <c r="G978" t="s">
        <v>28</v>
      </c>
      <c r="H978" t="s">
        <v>15</v>
      </c>
      <c r="I978">
        <v>2</v>
      </c>
      <c r="J978" t="s">
        <v>72</v>
      </c>
      <c r="K978" t="s">
        <v>32</v>
      </c>
      <c r="L978">
        <v>66</v>
      </c>
      <c r="M978" t="str" cm="1">
        <f t="array" ref="M978">_xlfn.IFS(L978&lt;31, "Young Adult", L978&lt;=55, "Middle Age", L978&gt;55, "Old")</f>
        <v>Old</v>
      </c>
      <c r="N978" t="s">
        <v>18</v>
      </c>
      <c r="O978">
        <f t="shared" si="15"/>
        <v>0</v>
      </c>
      <c r="P978" t="str" cm="1">
        <f t="array" ref="P978">_xlfn.IFS(D978&lt;=40000,"1. Up to 40K",D978&lt;=60000,"2. 40-60K",D978&lt;=80000,"3. 60-80K",TRUE,"4. Over 80K")</f>
        <v>2. 40-60K</v>
      </c>
    </row>
    <row r="979" spans="1:16"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c r="O979">
        <f t="shared" si="15"/>
        <v>0</v>
      </c>
      <c r="P979" t="str" cm="1">
        <f t="array" ref="P979">_xlfn.IFS(D979&lt;=40000,"1. Up to 40K",D979&lt;=60000,"2. 40-60K",D979&lt;=80000,"3. 60-80K",TRUE,"4. Over 80K")</f>
        <v>3. 60-80K</v>
      </c>
    </row>
    <row r="980" spans="1:16"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c r="O980">
        <f t="shared" si="15"/>
        <v>0</v>
      </c>
      <c r="P980" t="str" cm="1">
        <f t="array" ref="P980">_xlfn.IFS(D980&lt;=40000,"1. Up to 40K",D980&lt;=60000,"2. 40-60K",D980&lt;=80000,"3. 60-80K",TRUE,"4. Over 80K")</f>
        <v>3. 60-80K</v>
      </c>
    </row>
    <row r="981" spans="1:16"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c r="O981">
        <f t="shared" si="15"/>
        <v>0</v>
      </c>
      <c r="P981" t="str" cm="1">
        <f t="array" ref="P981">_xlfn.IFS(D981&lt;=40000,"1. Up to 40K",D981&lt;=60000,"2. 40-60K",D981&lt;=80000,"3. 60-80K",TRUE,"4. Over 80K")</f>
        <v>1. Up to 40K</v>
      </c>
    </row>
    <row r="982" spans="1:16" x14ac:dyDescent="0.25">
      <c r="A982">
        <v>18594</v>
      </c>
      <c r="B982" t="s">
        <v>51</v>
      </c>
      <c r="C982" t="s">
        <v>52</v>
      </c>
      <c r="D982" s="1">
        <v>80000</v>
      </c>
      <c r="E982">
        <v>3</v>
      </c>
      <c r="F982" t="s">
        <v>13</v>
      </c>
      <c r="G982" t="s">
        <v>14</v>
      </c>
      <c r="H982" t="s">
        <v>15</v>
      </c>
      <c r="I982">
        <v>3</v>
      </c>
      <c r="J982" t="s">
        <v>72</v>
      </c>
      <c r="K982" t="s">
        <v>32</v>
      </c>
      <c r="L982">
        <v>40</v>
      </c>
      <c r="M982" t="str" cm="1">
        <f t="array" ref="M982">_xlfn.IFS(L982&lt;31, "Young Adult", L982&lt;=55, "Middle Age", L982&gt;55, "Old")</f>
        <v>Middle Age</v>
      </c>
      <c r="N982" t="s">
        <v>15</v>
      </c>
      <c r="O982">
        <f t="shared" si="15"/>
        <v>1</v>
      </c>
      <c r="P982" t="str" cm="1">
        <f t="array" ref="P982">_xlfn.IFS(D982&lt;=40000,"1. Up to 40K",D982&lt;=60000,"2. 40-60K",D982&lt;=80000,"3. 60-80K",TRUE,"4. Over 80K")</f>
        <v>3. 60-80K</v>
      </c>
    </row>
    <row r="983" spans="1:16"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c r="O983">
        <f t="shared" si="15"/>
        <v>0</v>
      </c>
      <c r="P983" t="str" cm="1">
        <f t="array" ref="P983">_xlfn.IFS(D983&lt;=40000,"1. Up to 40K",D983&lt;=60000,"2. 40-60K",D983&lt;=80000,"3. 60-80K",TRUE,"4. Over 80K")</f>
        <v>4. Over 80K</v>
      </c>
    </row>
    <row r="984" spans="1:16"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c r="O984">
        <f t="shared" si="15"/>
        <v>1</v>
      </c>
      <c r="P984" t="str" cm="1">
        <f t="array" ref="P984">_xlfn.IFS(D984&lt;=40000,"1. Up to 40K",D984&lt;=60000,"2. 40-60K",D984&lt;=80000,"3. 60-80K",TRUE,"4. Over 80K")</f>
        <v>1. Up to 40K</v>
      </c>
    </row>
    <row r="985" spans="1:16"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c r="O985">
        <f t="shared" si="15"/>
        <v>0</v>
      </c>
      <c r="P985" t="str" cm="1">
        <f t="array" ref="P985">_xlfn.IFS(D985&lt;=40000,"1. Up to 40K",D985&lt;=60000,"2. 40-60K",D985&lt;=80000,"3. 60-80K",TRUE,"4. Over 80K")</f>
        <v>4. Over 80K</v>
      </c>
    </row>
    <row r="986" spans="1:16"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c r="O986">
        <f t="shared" si="15"/>
        <v>1</v>
      </c>
      <c r="P986" t="str" cm="1">
        <f t="array" ref="P986">_xlfn.IFS(D986&lt;=40000,"1. Up to 40K",D986&lt;=60000,"2. 40-60K",D986&lt;=80000,"3. 60-80K",TRUE,"4. Over 80K")</f>
        <v>2. 40-60K</v>
      </c>
    </row>
    <row r="987" spans="1:16"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c r="O987">
        <f t="shared" si="15"/>
        <v>0</v>
      </c>
      <c r="P987" t="str" cm="1">
        <f t="array" ref="P987">_xlfn.IFS(D987&lt;=40000,"1. Up to 40K",D987&lt;=60000,"2. 40-60K",D987&lt;=80000,"3. 60-80K",TRUE,"4. Over 80K")</f>
        <v>2. 40-60K</v>
      </c>
    </row>
    <row r="988" spans="1:16" x14ac:dyDescent="0.25">
      <c r="A988">
        <v>23704</v>
      </c>
      <c r="B988" t="s">
        <v>51</v>
      </c>
      <c r="C988" t="s">
        <v>53</v>
      </c>
      <c r="D988" s="1">
        <v>40000</v>
      </c>
      <c r="E988">
        <v>5</v>
      </c>
      <c r="F988" t="s">
        <v>27</v>
      </c>
      <c r="G988" t="s">
        <v>21</v>
      </c>
      <c r="H988" t="s">
        <v>15</v>
      </c>
      <c r="I988">
        <v>4</v>
      </c>
      <c r="J988" t="s">
        <v>72</v>
      </c>
      <c r="K988" t="s">
        <v>32</v>
      </c>
      <c r="L988">
        <v>60</v>
      </c>
      <c r="M988" t="str" cm="1">
        <f t="array" ref="M988">_xlfn.IFS(L988&lt;31, "Young Adult", L988&lt;=55, "Middle Age", L988&gt;55, "Old")</f>
        <v>Old</v>
      </c>
      <c r="N988" t="s">
        <v>15</v>
      </c>
      <c r="O988">
        <f t="shared" si="15"/>
        <v>1</v>
      </c>
      <c r="P988" t="str" cm="1">
        <f t="array" ref="P988">_xlfn.IFS(D988&lt;=40000,"1. Up to 40K",D988&lt;=60000,"2. 40-60K",D988&lt;=80000,"3. 60-80K",TRUE,"4. Over 80K")</f>
        <v>1. Up to 40K</v>
      </c>
    </row>
    <row r="989" spans="1:16" x14ac:dyDescent="0.25">
      <c r="A989">
        <v>28972</v>
      </c>
      <c r="B989" t="s">
        <v>51</v>
      </c>
      <c r="C989" t="s">
        <v>52</v>
      </c>
      <c r="D989" s="1">
        <v>60000</v>
      </c>
      <c r="E989">
        <v>3</v>
      </c>
      <c r="F989" t="s">
        <v>31</v>
      </c>
      <c r="G989" t="s">
        <v>28</v>
      </c>
      <c r="H989" t="s">
        <v>15</v>
      </c>
      <c r="I989">
        <v>2</v>
      </c>
      <c r="J989" t="s">
        <v>72</v>
      </c>
      <c r="K989" t="s">
        <v>32</v>
      </c>
      <c r="L989">
        <v>66</v>
      </c>
      <c r="M989" t="str" cm="1">
        <f t="array" ref="M989">_xlfn.IFS(L989&lt;31, "Young Adult", L989&lt;=55, "Middle Age", L989&gt;55, "Old")</f>
        <v>Old</v>
      </c>
      <c r="N989" t="s">
        <v>18</v>
      </c>
      <c r="O989">
        <f t="shared" si="15"/>
        <v>0</v>
      </c>
      <c r="P989" t="str" cm="1">
        <f t="array" ref="P989">_xlfn.IFS(D989&lt;=40000,"1. Up to 40K",D989&lt;=60000,"2. 40-60K",D989&lt;=80000,"3. 60-80K",TRUE,"4. Over 80K")</f>
        <v>2. 40-60K</v>
      </c>
    </row>
    <row r="990" spans="1:16" x14ac:dyDescent="0.25">
      <c r="A990">
        <v>22730</v>
      </c>
      <c r="B990" t="s">
        <v>50</v>
      </c>
      <c r="C990" t="s">
        <v>53</v>
      </c>
      <c r="D990" s="1">
        <v>70000</v>
      </c>
      <c r="E990">
        <v>5</v>
      </c>
      <c r="F990" t="s">
        <v>13</v>
      </c>
      <c r="G990" t="s">
        <v>28</v>
      </c>
      <c r="H990" t="s">
        <v>15</v>
      </c>
      <c r="I990">
        <v>2</v>
      </c>
      <c r="J990" t="s">
        <v>72</v>
      </c>
      <c r="K990" t="s">
        <v>32</v>
      </c>
      <c r="L990">
        <v>63</v>
      </c>
      <c r="M990" t="str" cm="1">
        <f t="array" ref="M990">_xlfn.IFS(L990&lt;31, "Young Adult", L990&lt;=55, "Middle Age", L990&gt;55, "Old")</f>
        <v>Old</v>
      </c>
      <c r="N990" t="s">
        <v>18</v>
      </c>
      <c r="O990">
        <f t="shared" si="15"/>
        <v>0</v>
      </c>
      <c r="P990" t="str" cm="1">
        <f t="array" ref="P990">_xlfn.IFS(D990&lt;=40000,"1. Up to 40K",D990&lt;=60000,"2. 40-60K",D990&lt;=80000,"3. 60-80K",TRUE,"4. Over 80K")</f>
        <v>3. 60-80K</v>
      </c>
    </row>
    <row r="991" spans="1:16" x14ac:dyDescent="0.25">
      <c r="A991">
        <v>29134</v>
      </c>
      <c r="B991" t="s">
        <v>50</v>
      </c>
      <c r="C991" t="s">
        <v>53</v>
      </c>
      <c r="D991" s="1">
        <v>60000</v>
      </c>
      <c r="E991">
        <v>4</v>
      </c>
      <c r="F991" t="s">
        <v>13</v>
      </c>
      <c r="G991" t="s">
        <v>14</v>
      </c>
      <c r="H991" t="s">
        <v>18</v>
      </c>
      <c r="I991">
        <v>3</v>
      </c>
      <c r="J991" t="s">
        <v>72</v>
      </c>
      <c r="K991" t="s">
        <v>32</v>
      </c>
      <c r="L991">
        <v>42</v>
      </c>
      <c r="M991" t="str" cm="1">
        <f t="array" ref="M991">_xlfn.IFS(L991&lt;31, "Young Adult", L991&lt;=55, "Middle Age", L991&gt;55, "Old")</f>
        <v>Middle Age</v>
      </c>
      <c r="N991" t="s">
        <v>18</v>
      </c>
      <c r="O991">
        <f t="shared" si="15"/>
        <v>0</v>
      </c>
      <c r="P991" t="str" cm="1">
        <f t="array" ref="P991">_xlfn.IFS(D991&lt;=40000,"1. Up to 40K",D991&lt;=60000,"2. 40-60K",D991&lt;=80000,"3. 60-80K",TRUE,"4. Over 80K")</f>
        <v>2. 40-60K</v>
      </c>
    </row>
    <row r="992" spans="1:16"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c r="O992">
        <f t="shared" si="15"/>
        <v>0</v>
      </c>
      <c r="P992" t="str" cm="1">
        <f t="array" ref="P992">_xlfn.IFS(D992&lt;=40000,"1. Up to 40K",D992&lt;=60000,"2. 40-60K",D992&lt;=80000,"3. 60-80K",TRUE,"4. Over 80K")</f>
        <v>1. Up to 40K</v>
      </c>
    </row>
    <row r="993" spans="1:16"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c r="O993">
        <f t="shared" si="15"/>
        <v>1</v>
      </c>
      <c r="P993" t="str" cm="1">
        <f t="array" ref="P993">_xlfn.IFS(D993&lt;=40000,"1. Up to 40K",D993&lt;=60000,"2. 40-60K",D993&lt;=80000,"3. 60-80K",TRUE,"4. Over 80K")</f>
        <v>2. 40-60K</v>
      </c>
    </row>
    <row r="994" spans="1:16"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c r="O994">
        <f t="shared" si="15"/>
        <v>1</v>
      </c>
      <c r="P994" t="str" cm="1">
        <f t="array" ref="P994">_xlfn.IFS(D994&lt;=40000,"1. Up to 40K",D994&lt;=60000,"2. 40-60K",D994&lt;=80000,"3. 60-80K",TRUE,"4. Over 80K")</f>
        <v>4. Over 80K</v>
      </c>
    </row>
    <row r="995" spans="1:16"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c r="O995">
        <f t="shared" si="15"/>
        <v>1</v>
      </c>
      <c r="P995" t="str" cm="1">
        <f t="array" ref="P995">_xlfn.IFS(D995&lt;=40000,"1. Up to 40K",D995&lt;=60000,"2. 40-60K",D995&lt;=80000,"3. 60-80K",TRUE,"4. Over 80K")</f>
        <v>4. Over 80K</v>
      </c>
    </row>
    <row r="996" spans="1:16"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c r="O996">
        <f t="shared" si="15"/>
        <v>0</v>
      </c>
      <c r="P996" t="str" cm="1">
        <f t="array" ref="P996">_xlfn.IFS(D996&lt;=40000,"1. Up to 40K",D996&lt;=60000,"2. 40-60K",D996&lt;=80000,"3. 60-80K",TRUE,"4. Over 80K")</f>
        <v>3. 60-80K</v>
      </c>
    </row>
    <row r="997" spans="1:16"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c r="O997">
        <f t="shared" si="15"/>
        <v>1</v>
      </c>
      <c r="P997" t="str" cm="1">
        <f t="array" ref="P997">_xlfn.IFS(D997&lt;=40000,"1. Up to 40K",D997&lt;=60000,"2. 40-60K",D997&lt;=80000,"3. 60-80K",TRUE,"4. Over 80K")</f>
        <v>2. 40-60K</v>
      </c>
    </row>
    <row r="998" spans="1:16"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c r="O998">
        <f t="shared" si="15"/>
        <v>1</v>
      </c>
      <c r="P998" t="str" cm="1">
        <f t="array" ref="P998">_xlfn.IFS(D998&lt;=40000,"1. Up to 40K",D998&lt;=60000,"2. 40-60K",D998&lt;=80000,"3. 60-80K",TRUE,"4. Over 80K")</f>
        <v>3. 60-80K</v>
      </c>
    </row>
    <row r="999" spans="1:16"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c r="O999">
        <f t="shared" si="15"/>
        <v>1</v>
      </c>
      <c r="P999" t="str" cm="1">
        <f t="array" ref="P999">_xlfn.IFS(D999&lt;=40000,"1. Up to 40K",D999&lt;=60000,"2. 40-60K",D999&lt;=80000,"3. 60-80K",TRUE,"4. Over 80K")</f>
        <v>2. 40-60K</v>
      </c>
    </row>
    <row r="1000" spans="1:16"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c r="O1000">
        <f t="shared" si="15"/>
        <v>0</v>
      </c>
      <c r="P1000" t="str" cm="1">
        <f t="array" ref="P1000">_xlfn.IFS(D1000&lt;=40000,"1. Up to 40K",D1000&lt;=60000,"2. 40-60K",D1000&lt;=80000,"3. 60-80K",TRUE,"4. Over 80K")</f>
        <v>4. Over 80K</v>
      </c>
    </row>
    <row r="1001" spans="1:16" x14ac:dyDescent="0.25">
      <c r="A1001">
        <v>12121</v>
      </c>
      <c r="B1001" t="s">
        <v>51</v>
      </c>
      <c r="C1001" t="s">
        <v>53</v>
      </c>
      <c r="D1001" s="1">
        <v>60000</v>
      </c>
      <c r="E1001">
        <v>3</v>
      </c>
      <c r="F1001" t="s">
        <v>27</v>
      </c>
      <c r="G1001" t="s">
        <v>21</v>
      </c>
      <c r="H1001" t="s">
        <v>15</v>
      </c>
      <c r="I1001">
        <v>2</v>
      </c>
      <c r="J1001" t="s">
        <v>72</v>
      </c>
      <c r="K1001" t="s">
        <v>32</v>
      </c>
      <c r="L1001">
        <v>53</v>
      </c>
      <c r="M1001" t="str" cm="1">
        <f t="array" ref="M1001">_xlfn.IFS(L1001&lt;31, "Young Adult", L1001&lt;=55, "Middle Age", L1001&gt;55, "Old")</f>
        <v>Middle Age</v>
      </c>
      <c r="N1001" t="s">
        <v>15</v>
      </c>
      <c r="O1001">
        <f t="shared" si="15"/>
        <v>1</v>
      </c>
      <c r="P1001" t="str" cm="1">
        <f t="array" ref="P1001">_xlfn.IFS(D1001&lt;=40000,"1. Up to 40K",D1001&lt;=60000,"2. 40-60K",D1001&lt;=80000,"3. 60-80K",TRUE,"4. Over 80K")</f>
        <v>2. 40-60K</v>
      </c>
    </row>
  </sheetData>
  <autoFilter ref="A1:P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61"/>
  <sheetViews>
    <sheetView topLeftCell="A39" workbookViewId="0">
      <selection activeCell="D66" sqref="D66"/>
    </sheetView>
  </sheetViews>
  <sheetFormatPr defaultRowHeight="13.8" x14ac:dyDescent="0.25"/>
  <cols>
    <col min="1" max="1" width="10.5" bestFit="1" customWidth="1"/>
    <col min="2" max="2" width="13.69921875" bestFit="1" customWidth="1"/>
    <col min="3" max="3" width="11.39843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53440</v>
      </c>
      <c r="C5" s="6">
        <v>55774.058577405856</v>
      </c>
      <c r="D5" s="6">
        <v>54580.777096114522</v>
      </c>
    </row>
    <row r="6" spans="1:4" x14ac:dyDescent="0.25">
      <c r="A6" s="7" t="s">
        <v>53</v>
      </c>
      <c r="B6" s="6">
        <v>56208.178438661707</v>
      </c>
      <c r="C6" s="6">
        <v>60123.966942148763</v>
      </c>
      <c r="D6" s="6">
        <v>58062.62230919765</v>
      </c>
    </row>
    <row r="7" spans="1:4" x14ac:dyDescent="0.25">
      <c r="A7" s="7" t="s">
        <v>59</v>
      </c>
      <c r="B7" s="6">
        <v>54874.759152215796</v>
      </c>
      <c r="C7" s="6">
        <v>57962.577962577961</v>
      </c>
      <c r="D7" s="6">
        <v>56360</v>
      </c>
    </row>
    <row r="25" spans="1:4" x14ac:dyDescent="0.25">
      <c r="A25" s="3" t="s">
        <v>66</v>
      </c>
      <c r="B25" s="3" t="s">
        <v>61</v>
      </c>
    </row>
    <row r="26" spans="1:4" x14ac:dyDescent="0.25">
      <c r="A26" s="3" t="s">
        <v>58</v>
      </c>
      <c r="B26" t="s">
        <v>18</v>
      </c>
      <c r="C26" t="s">
        <v>15</v>
      </c>
      <c r="D26" t="s">
        <v>59</v>
      </c>
    </row>
    <row r="27" spans="1:4" x14ac:dyDescent="0.25">
      <c r="A27" s="4" t="s">
        <v>16</v>
      </c>
      <c r="B27" s="12">
        <v>166</v>
      </c>
      <c r="C27" s="12">
        <v>200</v>
      </c>
      <c r="D27" s="12">
        <v>366</v>
      </c>
    </row>
    <row r="28" spans="1:4" x14ac:dyDescent="0.25">
      <c r="A28" s="4" t="s">
        <v>26</v>
      </c>
      <c r="B28" s="12">
        <v>92</v>
      </c>
      <c r="C28" s="12">
        <v>77</v>
      </c>
      <c r="D28" s="12">
        <v>169</v>
      </c>
    </row>
    <row r="29" spans="1:4" x14ac:dyDescent="0.25">
      <c r="A29" s="4" t="s">
        <v>23</v>
      </c>
      <c r="B29" s="12">
        <v>116</v>
      </c>
      <c r="C29" s="12">
        <v>76</v>
      </c>
      <c r="D29" s="12">
        <v>192</v>
      </c>
    </row>
    <row r="30" spans="1:4" x14ac:dyDescent="0.25">
      <c r="A30" s="4" t="s">
        <v>72</v>
      </c>
      <c r="B30" s="12">
        <v>78</v>
      </c>
      <c r="C30" s="12">
        <v>33</v>
      </c>
      <c r="D30" s="12">
        <v>111</v>
      </c>
    </row>
    <row r="31" spans="1:4" x14ac:dyDescent="0.25">
      <c r="A31" s="4" t="s">
        <v>92</v>
      </c>
      <c r="B31" s="12">
        <v>67</v>
      </c>
      <c r="C31" s="12">
        <v>95</v>
      </c>
      <c r="D31" s="12">
        <v>162</v>
      </c>
    </row>
    <row r="32" spans="1:4" x14ac:dyDescent="0.25">
      <c r="A32" s="4" t="s">
        <v>59</v>
      </c>
      <c r="B32" s="12">
        <v>519</v>
      </c>
      <c r="C32" s="12">
        <v>481</v>
      </c>
      <c r="D32" s="12">
        <v>1000</v>
      </c>
    </row>
    <row r="50" spans="1:4" x14ac:dyDescent="0.25">
      <c r="A50" s="3" t="s">
        <v>66</v>
      </c>
      <c r="B50" s="3" t="s">
        <v>61</v>
      </c>
    </row>
    <row r="51" spans="1:4" x14ac:dyDescent="0.25">
      <c r="A51" s="3" t="s">
        <v>58</v>
      </c>
      <c r="B51" t="s">
        <v>18</v>
      </c>
      <c r="C51" t="s">
        <v>15</v>
      </c>
      <c r="D51" t="s">
        <v>59</v>
      </c>
    </row>
    <row r="52" spans="1:4" x14ac:dyDescent="0.25">
      <c r="A52" s="4" t="s">
        <v>91</v>
      </c>
      <c r="B52" s="12">
        <v>71</v>
      </c>
      <c r="C52" s="12">
        <v>39</v>
      </c>
      <c r="D52" s="12">
        <v>110</v>
      </c>
    </row>
    <row r="53" spans="1:4" x14ac:dyDescent="0.25">
      <c r="A53" s="4" t="s">
        <v>73</v>
      </c>
      <c r="B53" s="12">
        <v>331</v>
      </c>
      <c r="C53" s="12">
        <v>388</v>
      </c>
      <c r="D53" s="12">
        <v>719</v>
      </c>
    </row>
    <row r="54" spans="1:4" x14ac:dyDescent="0.25">
      <c r="A54" s="4" t="s">
        <v>74</v>
      </c>
      <c r="B54" s="12">
        <v>117</v>
      </c>
      <c r="C54" s="12">
        <v>54</v>
      </c>
      <c r="D54" s="12">
        <v>171</v>
      </c>
    </row>
    <row r="55" spans="1:4" x14ac:dyDescent="0.25">
      <c r="A55" s="4" t="s">
        <v>59</v>
      </c>
      <c r="B55" s="12">
        <v>519</v>
      </c>
      <c r="C55" s="12">
        <v>481</v>
      </c>
      <c r="D55" s="12">
        <v>1000</v>
      </c>
    </row>
    <row r="60" spans="1:4" x14ac:dyDescent="0.25">
      <c r="A60" t="s">
        <v>97</v>
      </c>
      <c r="B60" t="s">
        <v>98</v>
      </c>
      <c r="C60" t="s">
        <v>104</v>
      </c>
    </row>
    <row r="61" spans="1:4" x14ac:dyDescent="0.25">
      <c r="A61" s="12">
        <v>1000</v>
      </c>
      <c r="B61" s="15">
        <v>0.48099999999999998</v>
      </c>
      <c r="C61" s="6">
        <v>56360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9FF29-B04C-4143-A81F-1531801FD56F}">
  <dimension ref="A1:C70"/>
  <sheetViews>
    <sheetView topLeftCell="A18" workbookViewId="0">
      <selection activeCell="A23" sqref="A23"/>
    </sheetView>
  </sheetViews>
  <sheetFormatPr defaultRowHeight="13.8" x14ac:dyDescent="0.25"/>
  <cols>
    <col min="1" max="1" width="65.69921875" bestFit="1" customWidth="1"/>
    <col min="2" max="2" width="10.5" bestFit="1" customWidth="1"/>
    <col min="3" max="3" width="13.69921875" bestFit="1" customWidth="1"/>
  </cols>
  <sheetData>
    <row r="1" spans="1:3" ht="17.399999999999999" x14ac:dyDescent="0.3">
      <c r="A1" s="14" t="s">
        <v>95</v>
      </c>
      <c r="B1" s="14" t="s">
        <v>96</v>
      </c>
    </row>
    <row r="4" spans="1:3" x14ac:dyDescent="0.25">
      <c r="A4" s="3" t="s">
        <v>8</v>
      </c>
      <c r="B4" t="s">
        <v>97</v>
      </c>
      <c r="C4" t="s">
        <v>98</v>
      </c>
    </row>
    <row r="5" spans="1:3" x14ac:dyDescent="0.25">
      <c r="A5" s="4">
        <v>0</v>
      </c>
      <c r="B5" s="12">
        <v>247</v>
      </c>
      <c r="C5" s="15">
        <v>0.61133603238866396</v>
      </c>
    </row>
    <row r="6" spans="1:3" x14ac:dyDescent="0.25">
      <c r="A6" s="4">
        <v>1</v>
      </c>
      <c r="B6" s="12">
        <v>267</v>
      </c>
      <c r="C6" s="15">
        <v>0.56928838951310856</v>
      </c>
    </row>
    <row r="7" spans="1:3" x14ac:dyDescent="0.25">
      <c r="A7" s="4">
        <v>2</v>
      </c>
      <c r="B7" s="12">
        <v>342</v>
      </c>
      <c r="C7" s="15">
        <v>0.36257309941520466</v>
      </c>
    </row>
    <row r="8" spans="1:3" x14ac:dyDescent="0.25">
      <c r="A8" s="4">
        <v>3</v>
      </c>
      <c r="B8" s="12">
        <v>85</v>
      </c>
      <c r="C8" s="15">
        <v>0.38823529411764707</v>
      </c>
    </row>
    <row r="9" spans="1:3" x14ac:dyDescent="0.25">
      <c r="A9" s="4">
        <v>4</v>
      </c>
      <c r="B9" s="12">
        <v>59</v>
      </c>
      <c r="C9" s="15">
        <v>0.3559322033898305</v>
      </c>
    </row>
    <row r="10" spans="1:3" x14ac:dyDescent="0.25">
      <c r="A10" s="4" t="s">
        <v>59</v>
      </c>
      <c r="B10" s="12">
        <v>1000</v>
      </c>
      <c r="C10" s="15">
        <v>0.48099999999999998</v>
      </c>
    </row>
    <row r="14" spans="1:3" x14ac:dyDescent="0.25">
      <c r="A14" s="3" t="s">
        <v>56</v>
      </c>
      <c r="B14" t="s">
        <v>97</v>
      </c>
      <c r="C14" t="s">
        <v>98</v>
      </c>
    </row>
    <row r="15" spans="1:3" x14ac:dyDescent="0.25">
      <c r="A15" s="4" t="s">
        <v>91</v>
      </c>
      <c r="B15" s="12">
        <v>110</v>
      </c>
      <c r="C15" s="15">
        <v>0.35454545454545455</v>
      </c>
    </row>
    <row r="16" spans="1:3" x14ac:dyDescent="0.25">
      <c r="A16" s="4" t="s">
        <v>73</v>
      </c>
      <c r="B16" s="12">
        <v>719</v>
      </c>
      <c r="C16" s="15">
        <v>0.53963838664812236</v>
      </c>
    </row>
    <row r="17" spans="1:3" x14ac:dyDescent="0.25">
      <c r="A17" s="4" t="s">
        <v>74</v>
      </c>
      <c r="B17" s="12">
        <v>171</v>
      </c>
      <c r="C17" s="15">
        <v>0.31578947368421051</v>
      </c>
    </row>
    <row r="18" spans="1:3" x14ac:dyDescent="0.25">
      <c r="A18" s="4" t="s">
        <v>59</v>
      </c>
      <c r="B18" s="12">
        <v>1000</v>
      </c>
      <c r="C18" s="15">
        <v>0.48099999999999998</v>
      </c>
    </row>
    <row r="24" spans="1:3" x14ac:dyDescent="0.25">
      <c r="A24" s="3" t="s">
        <v>99</v>
      </c>
      <c r="B24" t="s">
        <v>97</v>
      </c>
      <c r="C24" t="s">
        <v>98</v>
      </c>
    </row>
    <row r="25" spans="1:3" x14ac:dyDescent="0.25">
      <c r="A25" s="4" t="s">
        <v>16</v>
      </c>
      <c r="B25" s="12">
        <v>366</v>
      </c>
      <c r="C25" s="15">
        <v>0.54644808743169404</v>
      </c>
    </row>
    <row r="26" spans="1:3" x14ac:dyDescent="0.25">
      <c r="A26" s="4" t="s">
        <v>26</v>
      </c>
      <c r="B26" s="12">
        <v>169</v>
      </c>
      <c r="C26" s="15">
        <v>0.45562130177514792</v>
      </c>
    </row>
    <row r="27" spans="1:3" x14ac:dyDescent="0.25">
      <c r="A27" s="4" t="s">
        <v>22</v>
      </c>
      <c r="B27" s="12">
        <v>162</v>
      </c>
      <c r="C27" s="15">
        <v>0.5864197530864198</v>
      </c>
    </row>
    <row r="28" spans="1:3" x14ac:dyDescent="0.25">
      <c r="A28" s="4" t="s">
        <v>23</v>
      </c>
      <c r="B28" s="12">
        <v>192</v>
      </c>
      <c r="C28" s="15">
        <v>0.39583333333333331</v>
      </c>
    </row>
    <row r="29" spans="1:3" x14ac:dyDescent="0.25">
      <c r="A29" s="4" t="s">
        <v>72</v>
      </c>
      <c r="B29" s="12">
        <v>111</v>
      </c>
      <c r="C29" s="15">
        <v>0.29729729729729731</v>
      </c>
    </row>
    <row r="30" spans="1:3" x14ac:dyDescent="0.25">
      <c r="A30" s="4" t="s">
        <v>59</v>
      </c>
      <c r="B30" s="12">
        <v>1000</v>
      </c>
      <c r="C30" s="15">
        <v>0.48099999999999998</v>
      </c>
    </row>
    <row r="34" spans="1:3" x14ac:dyDescent="0.25">
      <c r="A34" s="3" t="s">
        <v>10</v>
      </c>
      <c r="B34" t="s">
        <v>97</v>
      </c>
      <c r="C34" t="s">
        <v>98</v>
      </c>
    </row>
    <row r="35" spans="1:3" x14ac:dyDescent="0.25">
      <c r="A35" s="4" t="s">
        <v>17</v>
      </c>
      <c r="B35" s="12">
        <v>300</v>
      </c>
      <c r="C35" s="15">
        <v>0.49333333333333335</v>
      </c>
    </row>
    <row r="36" spans="1:3" x14ac:dyDescent="0.25">
      <c r="A36" s="4" t="s">
        <v>32</v>
      </c>
      <c r="B36" s="12">
        <v>508</v>
      </c>
      <c r="C36" s="15">
        <v>0.43307086614173229</v>
      </c>
    </row>
    <row r="37" spans="1:3" x14ac:dyDescent="0.25">
      <c r="A37" s="4" t="s">
        <v>24</v>
      </c>
      <c r="B37" s="12">
        <v>192</v>
      </c>
      <c r="C37" s="15">
        <v>0.58854166666666663</v>
      </c>
    </row>
    <row r="38" spans="1:3" x14ac:dyDescent="0.25">
      <c r="A38" s="4" t="s">
        <v>59</v>
      </c>
      <c r="B38" s="12">
        <v>1000</v>
      </c>
      <c r="C38" s="15">
        <v>0.48099999999999998</v>
      </c>
    </row>
    <row r="44" spans="1:3" x14ac:dyDescent="0.25">
      <c r="A44" s="3" t="s">
        <v>1</v>
      </c>
      <c r="B44" t="s">
        <v>97</v>
      </c>
      <c r="C44" t="s">
        <v>98</v>
      </c>
    </row>
    <row r="45" spans="1:3" x14ac:dyDescent="0.25">
      <c r="A45" s="4" t="s">
        <v>50</v>
      </c>
      <c r="B45" s="12">
        <v>538</v>
      </c>
      <c r="C45" s="15">
        <v>0.42936802973977695</v>
      </c>
    </row>
    <row r="46" spans="1:3" x14ac:dyDescent="0.25">
      <c r="A46" s="4" t="s">
        <v>51</v>
      </c>
      <c r="B46" s="12">
        <v>462</v>
      </c>
      <c r="C46" s="15">
        <v>0.54112554112554112</v>
      </c>
    </row>
    <row r="47" spans="1:3" x14ac:dyDescent="0.25">
      <c r="A47" s="4" t="s">
        <v>59</v>
      </c>
      <c r="B47" s="12">
        <v>1000</v>
      </c>
      <c r="C47" s="15">
        <v>0.48099999999999998</v>
      </c>
    </row>
    <row r="54" spans="1:3" x14ac:dyDescent="0.25">
      <c r="A54" s="3" t="s">
        <v>94</v>
      </c>
      <c r="B54" t="s">
        <v>97</v>
      </c>
      <c r="C54" t="s">
        <v>98</v>
      </c>
    </row>
    <row r="55" spans="1:3" x14ac:dyDescent="0.25">
      <c r="A55" s="4" t="s">
        <v>100</v>
      </c>
      <c r="B55" s="12">
        <v>436</v>
      </c>
      <c r="C55" s="15">
        <v>0.46559633027522934</v>
      </c>
    </row>
    <row r="56" spans="1:3" x14ac:dyDescent="0.25">
      <c r="A56" s="4" t="s">
        <v>101</v>
      </c>
      <c r="B56" s="12">
        <v>205</v>
      </c>
      <c r="C56" s="15">
        <v>0.49268292682926829</v>
      </c>
    </row>
    <row r="57" spans="1:3" x14ac:dyDescent="0.25">
      <c r="A57" s="4" t="s">
        <v>102</v>
      </c>
      <c r="B57" s="12">
        <v>215</v>
      </c>
      <c r="C57" s="15">
        <v>0.4697674418604651</v>
      </c>
    </row>
    <row r="58" spans="1:3" x14ac:dyDescent="0.25">
      <c r="A58" s="4" t="s">
        <v>103</v>
      </c>
      <c r="B58" s="12">
        <v>144</v>
      </c>
      <c r="C58" s="15">
        <v>0.52777777777777779</v>
      </c>
    </row>
    <row r="59" spans="1:3" x14ac:dyDescent="0.25">
      <c r="A59" s="4" t="s">
        <v>59</v>
      </c>
      <c r="B59" s="12">
        <v>1000</v>
      </c>
      <c r="C59" s="15">
        <v>0.48099999999999998</v>
      </c>
    </row>
    <row r="64" spans="1:3" x14ac:dyDescent="0.25">
      <c r="A64" s="3" t="s">
        <v>5</v>
      </c>
      <c r="B64" t="s">
        <v>97</v>
      </c>
      <c r="C64" t="s">
        <v>98</v>
      </c>
    </row>
    <row r="65" spans="1:3" x14ac:dyDescent="0.25">
      <c r="A65" s="4" t="s">
        <v>13</v>
      </c>
      <c r="B65" s="12">
        <v>306</v>
      </c>
      <c r="C65" s="15">
        <v>0.55228758169934644</v>
      </c>
    </row>
    <row r="66" spans="1:3" x14ac:dyDescent="0.25">
      <c r="A66" s="4" t="s">
        <v>31</v>
      </c>
      <c r="B66" s="12">
        <v>174</v>
      </c>
      <c r="C66" s="15">
        <v>0.54022988505747127</v>
      </c>
    </row>
    <row r="67" spans="1:3" x14ac:dyDescent="0.25">
      <c r="A67" s="4" t="s">
        <v>27</v>
      </c>
      <c r="B67" s="12">
        <v>179</v>
      </c>
      <c r="C67" s="15">
        <v>0.44134078212290501</v>
      </c>
    </row>
    <row r="68" spans="1:3" x14ac:dyDescent="0.25">
      <c r="A68" s="4" t="s">
        <v>19</v>
      </c>
      <c r="B68" s="12">
        <v>265</v>
      </c>
      <c r="C68" s="15">
        <v>0.44905660377358492</v>
      </c>
    </row>
    <row r="69" spans="1:3" x14ac:dyDescent="0.25">
      <c r="A69" s="4" t="s">
        <v>29</v>
      </c>
      <c r="B69" s="12">
        <v>76</v>
      </c>
      <c r="C69" s="15">
        <v>0.26315789473684209</v>
      </c>
    </row>
    <row r="70" spans="1:3" x14ac:dyDescent="0.25">
      <c r="A70" s="4" t="s">
        <v>59</v>
      </c>
      <c r="B70" s="12">
        <v>1000</v>
      </c>
      <c r="C70" s="15">
        <v>0.48099999999999998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T20"/>
  <sheetViews>
    <sheetView showGridLines="0" tabSelected="1" zoomScaleNormal="100" workbookViewId="0">
      <selection activeCell="O37" sqref="O37"/>
    </sheetView>
  </sheetViews>
  <sheetFormatPr defaultRowHeight="13.8" x14ac:dyDescent="0.25"/>
  <cols>
    <col min="15" max="15" width="8.796875" customWidth="1"/>
  </cols>
  <sheetData>
    <row r="1" spans="1:15" x14ac:dyDescent="0.25">
      <c r="A1" s="10" t="s">
        <v>80</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row r="5" spans="1:15" x14ac:dyDescent="0.25">
      <c r="A5" s="16" t="s">
        <v>105</v>
      </c>
      <c r="B5" s="16"/>
      <c r="C5" s="16"/>
      <c r="D5" s="20"/>
      <c r="E5" s="21" t="s">
        <v>106</v>
      </c>
      <c r="F5" s="16"/>
      <c r="G5" s="16"/>
      <c r="H5" s="20"/>
      <c r="I5" s="16" t="s">
        <v>107</v>
      </c>
      <c r="J5" s="16"/>
      <c r="K5" s="16"/>
      <c r="L5" s="16"/>
    </row>
    <row r="6" spans="1:15" ht="35.4" x14ac:dyDescent="0.25">
      <c r="A6" s="24">
        <f>GETPIVOTDATA("Customers",Pivot_Table!$A$60)</f>
        <v>1000</v>
      </c>
      <c r="B6" s="24"/>
      <c r="C6" s="24"/>
      <c r="D6" s="25"/>
      <c r="E6" s="22">
        <f>GETPIVOTDATA("Purchase Rate",Pivot_Table!$A$60)</f>
        <v>0.48099999999999998</v>
      </c>
      <c r="F6" s="17"/>
      <c r="G6" s="17"/>
      <c r="H6" s="23"/>
      <c r="I6" s="18">
        <f>GETPIVOTDATA("Avg Income",Pivot_Table!$A$60)</f>
        <v>56360</v>
      </c>
      <c r="J6" s="19"/>
      <c r="K6" s="19"/>
      <c r="L6" s="19"/>
    </row>
    <row r="20" spans="20:20" x14ac:dyDescent="0.25">
      <c r="T20" s="13"/>
    </row>
  </sheetData>
  <mergeCells count="7">
    <mergeCell ref="A1:O4"/>
    <mergeCell ref="A5:D5"/>
    <mergeCell ref="A6:D6"/>
    <mergeCell ref="E5:H5"/>
    <mergeCell ref="E6:H6"/>
    <mergeCell ref="I5:L5"/>
    <mergeCell ref="I6:L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E20"/>
  <sheetViews>
    <sheetView workbookViewId="0">
      <pane ySplit="1" topLeftCell="A9" activePane="bottomLeft" state="frozen"/>
      <selection pane="bottomLeft" activeCell="D27" sqref="D27"/>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5" width="43.8984375" style="8" customWidth="1"/>
    <col min="6" max="16384" width="8.69921875" style="8"/>
  </cols>
  <sheetData>
    <row r="1" spans="1:5" x14ac:dyDescent="0.25">
      <c r="A1" s="8" t="s">
        <v>36</v>
      </c>
      <c r="B1" s="8" t="s">
        <v>37</v>
      </c>
      <c r="C1" s="9" t="s">
        <v>38</v>
      </c>
      <c r="D1" s="8" t="s">
        <v>64</v>
      </c>
      <c r="E1" s="8" t="s">
        <v>112</v>
      </c>
    </row>
    <row r="2" spans="1:5" ht="248.4" x14ac:dyDescent="0.25">
      <c r="A2" s="8" t="s">
        <v>42</v>
      </c>
      <c r="B2" s="8" t="s">
        <v>43</v>
      </c>
      <c r="C2" s="9" t="s">
        <v>44</v>
      </c>
    </row>
    <row r="3" spans="1:5" x14ac:dyDescent="0.25">
      <c r="A3" s="8" t="s">
        <v>39</v>
      </c>
      <c r="B3" s="8" t="s">
        <v>41</v>
      </c>
      <c r="C3" s="9" t="s">
        <v>40</v>
      </c>
    </row>
    <row r="4" spans="1:5" ht="27.6" x14ac:dyDescent="0.25">
      <c r="A4" s="8" t="s">
        <v>45</v>
      </c>
      <c r="B4" s="8" t="s">
        <v>46</v>
      </c>
      <c r="C4" s="9" t="s">
        <v>47</v>
      </c>
    </row>
    <row r="5" spans="1:5" ht="27.6" x14ac:dyDescent="0.25">
      <c r="A5" s="8" t="s">
        <v>48</v>
      </c>
      <c r="B5" s="8" t="s">
        <v>46</v>
      </c>
      <c r="C5" s="9" t="s">
        <v>49</v>
      </c>
    </row>
    <row r="6" spans="1:5" ht="55.2" x14ac:dyDescent="0.25">
      <c r="A6" s="8" t="s">
        <v>54</v>
      </c>
      <c r="B6" s="8" t="s">
        <v>55</v>
      </c>
      <c r="C6" s="9" t="s">
        <v>108</v>
      </c>
    </row>
    <row r="7" spans="1:5" ht="55.2" x14ac:dyDescent="0.25">
      <c r="A7" s="8" t="s">
        <v>62</v>
      </c>
      <c r="B7" s="8" t="s">
        <v>57</v>
      </c>
      <c r="C7" s="9" t="s">
        <v>109</v>
      </c>
      <c r="D7" s="8" t="s">
        <v>69</v>
      </c>
      <c r="E7" s="9" t="s">
        <v>113</v>
      </c>
    </row>
    <row r="8" spans="1:5" x14ac:dyDescent="0.25">
      <c r="A8" s="8" t="s">
        <v>63</v>
      </c>
      <c r="B8" s="8" t="s">
        <v>65</v>
      </c>
      <c r="C8" s="9"/>
    </row>
    <row r="9" spans="1:5" ht="27.6" x14ac:dyDescent="0.25">
      <c r="A9" s="8" t="s">
        <v>67</v>
      </c>
      <c r="B9" s="8" t="s">
        <v>57</v>
      </c>
      <c r="C9" s="9" t="s">
        <v>110</v>
      </c>
      <c r="D9" s="8" t="s">
        <v>70</v>
      </c>
      <c r="E9" s="9" t="s">
        <v>114</v>
      </c>
    </row>
    <row r="10" spans="1:5" x14ac:dyDescent="0.25">
      <c r="A10" s="8" t="s">
        <v>71</v>
      </c>
      <c r="B10" s="8" t="s">
        <v>68</v>
      </c>
      <c r="C10" s="9"/>
    </row>
    <row r="11" spans="1:5" ht="27.6" x14ac:dyDescent="0.25">
      <c r="A11" s="8" t="s">
        <v>75</v>
      </c>
      <c r="B11" s="8" t="s">
        <v>57</v>
      </c>
      <c r="C11" s="9" t="s">
        <v>111</v>
      </c>
      <c r="D11" s="8" t="s">
        <v>77</v>
      </c>
      <c r="E11" s="8" t="s">
        <v>115</v>
      </c>
    </row>
    <row r="12" spans="1:5" x14ac:dyDescent="0.25">
      <c r="A12" s="8" t="s">
        <v>76</v>
      </c>
      <c r="C12" s="9"/>
    </row>
    <row r="13" spans="1:5" x14ac:dyDescent="0.25">
      <c r="A13" s="8" t="s">
        <v>78</v>
      </c>
      <c r="B13" s="8" t="s">
        <v>79</v>
      </c>
      <c r="C13" s="9"/>
    </row>
    <row r="14" spans="1:5" x14ac:dyDescent="0.25">
      <c r="A14" s="8" t="s">
        <v>84</v>
      </c>
      <c r="B14" s="8" t="s">
        <v>81</v>
      </c>
      <c r="C14" s="9" t="s">
        <v>82</v>
      </c>
      <c r="D14" s="8" t="s">
        <v>83</v>
      </c>
      <c r="E14" s="8" t="s">
        <v>116</v>
      </c>
    </row>
    <row r="15" spans="1:5" x14ac:dyDescent="0.25">
      <c r="A15" s="8" t="s">
        <v>85</v>
      </c>
      <c r="B15" s="8" t="s">
        <v>81</v>
      </c>
      <c r="C15" s="9" t="s">
        <v>86</v>
      </c>
      <c r="D15" s="8" t="s">
        <v>87</v>
      </c>
      <c r="E15" s="8" t="s">
        <v>117</v>
      </c>
    </row>
    <row r="16" spans="1:5" ht="27.6" x14ac:dyDescent="0.25">
      <c r="A16" s="8" t="s">
        <v>88</v>
      </c>
      <c r="B16" s="8" t="s">
        <v>81</v>
      </c>
      <c r="C16" s="9" t="s">
        <v>89</v>
      </c>
      <c r="D16" s="8" t="s">
        <v>90</v>
      </c>
      <c r="E16" s="9" t="s">
        <v>118</v>
      </c>
    </row>
    <row r="17" spans="1:5" ht="55.2" x14ac:dyDescent="0.25">
      <c r="A17" s="8" t="s">
        <v>119</v>
      </c>
      <c r="B17" s="8" t="s">
        <v>120</v>
      </c>
      <c r="C17" s="9" t="s">
        <v>121</v>
      </c>
    </row>
    <row r="18" spans="1:5" ht="41.4" x14ac:dyDescent="0.25">
      <c r="A18" s="8" t="s">
        <v>122</v>
      </c>
      <c r="B18" s="8" t="s">
        <v>123</v>
      </c>
      <c r="C18" s="9" t="s">
        <v>124</v>
      </c>
      <c r="D18" s="8" t="s">
        <v>125</v>
      </c>
      <c r="E18" s="9" t="s">
        <v>126</v>
      </c>
    </row>
    <row r="19" spans="1:5" ht="69" x14ac:dyDescent="0.25">
      <c r="A19" s="8" t="s">
        <v>127</v>
      </c>
      <c r="B19" s="8" t="s">
        <v>128</v>
      </c>
      <c r="C19" s="9" t="s">
        <v>129</v>
      </c>
    </row>
    <row r="20" spans="1:5" ht="27.6" x14ac:dyDescent="0.25">
      <c r="A20" s="8" t="s">
        <v>130</v>
      </c>
      <c r="B20" s="8" t="s">
        <v>131</v>
      </c>
      <c r="C20" s="9" t="s">
        <v>132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bike_buyers</vt:lpstr>
      <vt:lpstr>Working_Sheet</vt:lpstr>
      <vt:lpstr>Pivot_Table</vt:lpstr>
      <vt:lpstr>Findings</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2026-10-28T20:23:13Z</dcterms:modified>
</cp:coreProperties>
</file>